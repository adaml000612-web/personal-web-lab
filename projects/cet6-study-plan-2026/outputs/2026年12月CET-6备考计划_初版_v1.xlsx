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每日计划" sheetId="2" state="visible" r:id="rId2"/>
    <sheet xmlns:r="http://schemas.openxmlformats.org/officeDocument/2006/relationships" name="资料清单" sheetId="3" state="visible" r:id="rId3"/>
    <sheet xmlns:r="http://schemas.openxmlformats.org/officeDocument/2006/relationships" name="真题映射" sheetId="4" state="visible" r:id="rId4"/>
    <sheet xmlns:r="http://schemas.openxmlformats.org/officeDocument/2006/relationships" name="每周复盘" sheetId="5" state="visible" r:id="rId5"/>
    <sheet xmlns:r="http://schemas.openxmlformats.org/officeDocument/2006/relationships" name="模考记录" sheetId="6" state="visible" r:id="rId6"/>
    <sheet xmlns:r="http://schemas.openxmlformats.org/officeDocument/2006/relationships" name="错题记录" sheetId="7" state="visible" r:id="rId7"/>
    <sheet xmlns:r="http://schemas.openxmlformats.org/officeDocument/2006/relationships" name="使用说明" sheetId="8" state="visible" r:id="rId8"/>
  </sheets>
  <definedNames>
    <definedName name="_xlnm.Print_Area" localSheetId="0">'总览'!$A$1:$L$38</definedName>
    <definedName name="_xlnm.Print_Titles" localSheetId="1">'每日计划'!$1:$1</definedName>
    <definedName name="_xlnm.Print_Area" localSheetId="1">'每日计划'!$A$1:$Q$98</definedName>
    <definedName name="_xlnm.Print_Area" localSheetId="2">'资料清单'!$A$1:$H$19</definedName>
    <definedName name="_xlnm.Print_Area" localSheetId="3">'真题映射'!$A$1:$I$16</definedName>
    <definedName name="_xlnm.Print_Area" localSheetId="4">'每周复盘'!$A$1:$O$18</definedName>
    <definedName name="_xlnm.Print_Area" localSheetId="5">'模考记录'!$A$1:$N$11</definedName>
    <definedName name="_xlnm._FilterDatabase" localSheetId="6" hidden="1">'错题记录'!$A$4:$N$104</definedName>
    <definedName name="_xlnm.Print_Titles" localSheetId="6">'错题记录'!$1:$4</definedName>
    <definedName name="_xlnm.Print_Area" localSheetId="6">'错题记录'!$A$1:$N$104</definedName>
    <definedName name="_xlnm.Print_Area" localSheetId="7">'使用说明'!$A$1:$H$42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"/>
    <numFmt numFmtId="166" formatCode="m/d"/>
  </numFmts>
  <fonts count="13">
    <font>
      <name val="Calibri"/>
      <family val="2"/>
      <color theme="1"/>
      <sz val="11"/>
      <scheme val="minor"/>
    </font>
    <font>
      <name val="Microsoft YaHei"/>
      <b val="1"/>
      <color rgb="00FFFFFF"/>
      <sz val="20"/>
    </font>
    <font>
      <name val="Microsoft YaHei"/>
      <color rgb="00667085"/>
      <sz val="10"/>
    </font>
    <font>
      <name val="Microsoft YaHei"/>
      <b val="1"/>
      <color rgb="00FFFFFF"/>
      <sz val="12"/>
    </font>
    <font>
      <name val="Microsoft YaHei"/>
      <b val="1"/>
      <color rgb="00FFFFFF"/>
      <sz val="10"/>
    </font>
    <font>
      <name val="Microsoft YaHei"/>
      <color rgb="00243447"/>
      <sz val="10"/>
    </font>
    <font>
      <name val="Microsoft YaHei"/>
      <b val="1"/>
      <color rgb="00243447"/>
      <sz val="10"/>
    </font>
    <font>
      <name val="Microsoft YaHei"/>
      <color rgb="00243447"/>
      <sz val="9"/>
    </font>
    <font>
      <name val="Microsoft YaHei"/>
      <b val="1"/>
      <color rgb="00B84A4A"/>
      <sz val="10"/>
    </font>
    <font>
      <name val="Microsoft YaHei"/>
      <b val="1"/>
      <color rgb="00243447"/>
      <sz val="9"/>
    </font>
    <font>
      <name val="Calibri"/>
      <family val="2"/>
      <color theme="10"/>
      <sz val="12"/>
      <scheme val="minor"/>
    </font>
    <font>
      <name val="Microsoft YaHei"/>
      <b val="1"/>
      <color rgb="00243447"/>
      <sz val="11"/>
    </font>
    <font>
      <name val="Microsoft YaHei"/>
      <color theme="10"/>
      <sz val="12"/>
    </font>
  </fonts>
  <fills count="19">
    <fill>
      <patternFill/>
    </fill>
    <fill>
      <patternFill patternType="gray125"/>
    </fill>
    <fill>
      <patternFill patternType="solid">
        <fgColor rgb="00173B57"/>
      </patternFill>
    </fill>
    <fill>
      <patternFill patternType="solid">
        <fgColor rgb="00F7F9FB"/>
      </patternFill>
    </fill>
    <fill>
      <patternFill patternType="solid">
        <fgColor rgb="001F7A8C"/>
      </patternFill>
    </fill>
    <fill>
      <patternFill patternType="solid">
        <fgColor rgb="00EDF6F8"/>
      </patternFill>
    </fill>
    <fill>
      <patternFill patternType="solid">
        <fgColor rgb="00E6F3EC"/>
      </patternFill>
    </fill>
    <fill>
      <patternFill patternType="solid">
        <fgColor rgb="00D99B3D"/>
      </patternFill>
    </fill>
    <fill>
      <patternFill patternType="solid">
        <fgColor rgb="00FFFFFF"/>
      </patternFill>
    </fill>
    <fill>
      <patternFill patternType="solid">
        <fgColor rgb="00FFF3D8"/>
      </patternFill>
    </fill>
    <fill>
      <patternFill patternType="solid">
        <fgColor rgb="00145B68"/>
      </patternFill>
    </fill>
    <fill>
      <patternFill patternType="solid">
        <fgColor rgb="006C5B7B"/>
      </patternFill>
    </fill>
    <fill>
      <patternFill patternType="solid">
        <fgColor rgb="00EFEAF3"/>
      </patternFill>
    </fill>
    <fill>
      <patternFill patternType="solid">
        <fgColor rgb="00EAF0F8"/>
      </patternFill>
    </fill>
    <fill>
      <patternFill patternType="solid">
        <fgColor rgb="00FFF9E9"/>
      </patternFill>
    </fill>
    <fill>
      <patternFill patternType="solid">
        <fgColor rgb="00E9EDF1"/>
      </patternFill>
    </fill>
    <fill>
      <patternFill patternType="solid">
        <fgColor rgb="00F0F7F2"/>
      </patternFill>
    </fill>
    <fill>
      <patternFill patternType="solid">
        <fgColor rgb="00F3F4F6"/>
      </patternFill>
    </fill>
    <fill>
      <patternFill patternType="solid">
        <fgColor rgb="00FBE9E9"/>
      </patternFill>
    </fill>
  </fills>
  <borders count="4">
    <border>
      <left/>
      <right/>
      <top/>
      <bottom/>
      <diagonal/>
    </border>
    <border>
      <left style="thin">
        <color rgb="00D5DEE5"/>
      </left>
      <right style="thin">
        <color rgb="00D5DEE5"/>
      </right>
      <top style="thin">
        <color rgb="00D5DEE5"/>
      </top>
      <bottom style="thin">
        <color rgb="00D5DEE5"/>
      </bottom>
    </border>
    <border>
      <left style="thin">
        <color rgb="00D99B3D"/>
      </left>
      <right style="thin">
        <color rgb="00D99B3D"/>
      </right>
      <top style="thin">
        <color rgb="00D99B3D"/>
      </top>
      <bottom style="thin">
        <color rgb="00D99B3D"/>
      </bottom>
    </border>
    <border>
      <left style="thin">
        <color rgb="002E7D5B"/>
      </left>
      <right style="thin">
        <color rgb="002E7D5B"/>
      </right>
      <top style="thin">
        <color rgb="002E7D5B"/>
      </top>
      <bottom style="thin">
        <color rgb="002E7D5B"/>
      </bottom>
    </border>
  </borders>
  <cellStyleXfs count="2">
    <xf numFmtId="0" fontId="0" fillId="0" borderId="0"/>
    <xf numFmtId="0" fontId="10" fillId="0" borderId="0"/>
  </cellStyleXfs>
  <cellXfs count="10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3" fillId="7" borderId="0" applyAlignment="1" pivotButton="0" quotePrefix="0" xfId="0">
      <alignment vertical="center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vertical="center" wrapText="1"/>
    </xf>
    <xf numFmtId="164" fontId="5" fillId="8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164" fontId="6" fillId="9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3" fillId="10" borderId="0" applyAlignment="1" pivotButton="0" quotePrefix="0" xfId="0">
      <alignment vertical="center"/>
    </xf>
    <xf numFmtId="0" fontId="3" fillId="11" borderId="0" applyAlignment="1" pivotButton="0" quotePrefix="0" xfId="0">
      <alignment vertical="center"/>
    </xf>
    <xf numFmtId="0" fontId="4" fillId="10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vertical="center" wrapText="1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9" fontId="6" fillId="6" borderId="1" applyAlignment="1" pivotButton="0" quotePrefix="0" xfId="0">
      <alignment horizontal="center" vertical="center"/>
    </xf>
    <xf numFmtId="165" fontId="6" fillId="6" borderId="1" applyAlignment="1" pivotButton="0" quotePrefix="0" xfId="0">
      <alignment horizontal="center" vertical="center"/>
    </xf>
    <xf numFmtId="0" fontId="8" fillId="9" borderId="2" applyAlignment="1" pivotButton="0" quotePrefix="0" xfId="0">
      <alignment vertical="center" wrapText="1"/>
    </xf>
    <xf numFmtId="164" fontId="9" fillId="8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center" vertical="top" wrapText="1"/>
    </xf>
    <xf numFmtId="0" fontId="9" fillId="8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left" vertical="top" wrapText="1"/>
    </xf>
    <xf numFmtId="164" fontId="9" fillId="6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left" vertical="top" wrapText="1"/>
    </xf>
    <xf numFmtId="164" fontId="9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left" vertical="top" wrapText="1"/>
    </xf>
    <xf numFmtId="164" fontId="9" fillId="3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center" vertical="top" wrapText="1"/>
    </xf>
    <xf numFmtId="0" fontId="9" fillId="3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left" vertical="top" wrapText="1"/>
    </xf>
    <xf numFmtId="164" fontId="9" fillId="13" borderId="1" applyAlignment="1" pivotButton="0" quotePrefix="0" xfId="0">
      <alignment horizontal="center" vertical="top" wrapText="1"/>
    </xf>
    <xf numFmtId="0" fontId="7" fillId="13" borderId="1" applyAlignment="1" pivotButton="0" quotePrefix="0" xfId="0">
      <alignment horizontal="center" vertical="top" wrapText="1"/>
    </xf>
    <xf numFmtId="0" fontId="9" fillId="13" borderId="1" applyAlignment="1" pivotButton="0" quotePrefix="0" xfId="0">
      <alignment horizontal="center" vertical="top" wrapText="1"/>
    </xf>
    <xf numFmtId="0" fontId="7" fillId="13" borderId="1" applyAlignment="1" pivotButton="0" quotePrefix="0" xfId="0">
      <alignment horizontal="left" vertical="top" wrapText="1"/>
    </xf>
    <xf numFmtId="164" fontId="9" fillId="9" borderId="1" applyAlignment="1" pivotButton="0" quotePrefix="0" xfId="0">
      <alignment horizontal="center" vertical="top" wrapText="1"/>
    </xf>
    <xf numFmtId="0" fontId="7" fillId="9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center" vertical="top" wrapText="1"/>
    </xf>
    <xf numFmtId="0" fontId="7" fillId="9" borderId="1" applyAlignment="1" pivotButton="0" quotePrefix="0" xfId="0">
      <alignment horizontal="left" vertical="top" wrapText="1"/>
    </xf>
    <xf numFmtId="164" fontId="9" fillId="14" borderId="1" applyAlignment="1" pivotButton="0" quotePrefix="0" xfId="0">
      <alignment horizontal="center" vertical="top" wrapText="1"/>
    </xf>
    <xf numFmtId="0" fontId="7" fillId="14" borderId="1" applyAlignment="1" pivotButton="0" quotePrefix="0" xfId="0">
      <alignment horizontal="center" vertical="top" wrapText="1"/>
    </xf>
    <xf numFmtId="0" fontId="9" fillId="14" borderId="1" applyAlignment="1" pivotButton="0" quotePrefix="0" xfId="0">
      <alignment horizontal="center" vertical="top" wrapText="1"/>
    </xf>
    <xf numFmtId="0" fontId="7" fillId="14" borderId="1" applyAlignment="1" pivotButton="0" quotePrefix="0" xfId="0">
      <alignment horizontal="left" vertical="top" wrapText="1"/>
    </xf>
    <xf numFmtId="164" fontId="9" fillId="15" borderId="1" applyAlignment="1" pivotButton="0" quotePrefix="0" xfId="0">
      <alignment horizontal="center" vertical="top" wrapText="1"/>
    </xf>
    <xf numFmtId="0" fontId="7" fillId="15" borderId="1" applyAlignment="1" pivotButton="0" quotePrefix="0" xfId="0">
      <alignment horizontal="center" vertical="top" wrapText="1"/>
    </xf>
    <xf numFmtId="0" fontId="9" fillId="15" borderId="1" applyAlignment="1" pivotButton="0" quotePrefix="0" xfId="0">
      <alignment horizontal="center" vertical="top" wrapText="1"/>
    </xf>
    <xf numFmtId="0" fontId="7" fillId="15" borderId="1" applyAlignment="1" pivotButton="0" quotePrefix="0" xfId="0">
      <alignment horizontal="left" vertical="top" wrapText="1"/>
    </xf>
    <xf numFmtId="164" fontId="9" fillId="16" borderId="1" applyAlignment="1" pivotButton="0" quotePrefix="0" xfId="0">
      <alignment horizontal="center" vertical="top" wrapText="1"/>
    </xf>
    <xf numFmtId="0" fontId="7" fillId="16" borderId="1" applyAlignment="1" pivotButton="0" quotePrefix="0" xfId="0">
      <alignment horizontal="center" vertical="top" wrapText="1"/>
    </xf>
    <xf numFmtId="0" fontId="9" fillId="16" borderId="1" applyAlignment="1" pivotButton="0" quotePrefix="0" xfId="0">
      <alignment horizontal="center" vertical="top" wrapText="1"/>
    </xf>
    <xf numFmtId="0" fontId="7" fillId="16" borderId="1" applyAlignment="1" pivotButton="0" quotePrefix="0" xfId="0">
      <alignment horizontal="left" vertical="top" wrapText="1"/>
    </xf>
    <xf numFmtId="164" fontId="9" fillId="12" borderId="1" applyAlignment="1" pivotButton="0" quotePrefix="0" xfId="0">
      <alignment horizontal="center" vertical="top" wrapText="1"/>
    </xf>
    <xf numFmtId="0" fontId="7" fillId="12" borderId="1" applyAlignment="1" pivotButton="0" quotePrefix="0" xfId="0">
      <alignment horizontal="center" vertical="top" wrapText="1"/>
    </xf>
    <xf numFmtId="0" fontId="9" fillId="12" borderId="1" applyAlignment="1" pivotButton="0" quotePrefix="0" xfId="0">
      <alignment horizontal="center" vertical="top" wrapText="1"/>
    </xf>
    <xf numFmtId="0" fontId="7" fillId="12" borderId="1" applyAlignment="1" pivotButton="0" quotePrefix="0" xfId="0">
      <alignment horizontal="left" vertical="top" wrapText="1"/>
    </xf>
    <xf numFmtId="164" fontId="9" fillId="17" borderId="1" applyAlignment="1" pivotButton="0" quotePrefix="0" xfId="0">
      <alignment horizontal="center" vertical="top" wrapText="1"/>
    </xf>
    <xf numFmtId="0" fontId="7" fillId="17" borderId="1" applyAlignment="1" pivotButton="0" quotePrefix="0" xfId="0">
      <alignment horizontal="center" vertical="top" wrapText="1"/>
    </xf>
    <xf numFmtId="0" fontId="9" fillId="17" borderId="1" applyAlignment="1" pivotButton="0" quotePrefix="0" xfId="0">
      <alignment horizontal="center" vertical="top" wrapText="1"/>
    </xf>
    <xf numFmtId="0" fontId="7" fillId="17" borderId="1" applyAlignment="1" pivotButton="0" quotePrefix="0" xfId="0">
      <alignment horizontal="left" vertical="top" wrapText="1"/>
    </xf>
    <xf numFmtId="164" fontId="9" fillId="18" borderId="1" applyAlignment="1" pivotButton="0" quotePrefix="0" xfId="0">
      <alignment horizontal="center" vertical="top" wrapText="1"/>
    </xf>
    <xf numFmtId="0" fontId="7" fillId="18" borderId="1" applyAlignment="1" pivotButton="0" quotePrefix="0" xfId="0">
      <alignment horizontal="center" vertical="top" wrapText="1"/>
    </xf>
    <xf numFmtId="0" fontId="9" fillId="18" borderId="1" applyAlignment="1" pivotButton="0" quotePrefix="0" xfId="0">
      <alignment horizontal="center" vertical="top" wrapText="1"/>
    </xf>
    <xf numFmtId="0" fontId="7" fillId="18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12" fillId="0" borderId="0" pivotButton="0" quotePrefix="0" xfId="1"/>
    <xf numFmtId="0" fontId="7" fillId="5" borderId="1" applyAlignment="1" pivotButton="0" quotePrefix="0" xfId="0">
      <alignment vertical="top" wrapText="1"/>
    </xf>
    <xf numFmtId="0" fontId="11" fillId="6" borderId="3" applyAlignment="1" pivotButton="0" quotePrefix="0" xfId="0">
      <alignment vertical="center" wrapText="1"/>
    </xf>
    <xf numFmtId="0" fontId="9" fillId="9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164" fontId="7" fillId="9" borderId="1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0" fontId="9" fillId="6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 wrapText="1"/>
    </xf>
    <xf numFmtId="164" fontId="7" fillId="6" borderId="1" applyAlignment="1" pivotButton="0" quotePrefix="0" xfId="0">
      <alignment vertical="center" wrapText="1"/>
    </xf>
    <xf numFmtId="0" fontId="7" fillId="8" borderId="1" applyAlignment="1" pivotButton="0" quotePrefix="0" xfId="0">
      <alignment horizontal="center" vertical="center" wrapText="1"/>
    </xf>
    <xf numFmtId="166" fontId="7" fillId="8" borderId="1" applyAlignment="1" pivotButton="0" quotePrefix="0" xfId="0">
      <alignment horizontal="center" vertical="center" wrapText="1"/>
    </xf>
    <xf numFmtId="9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166" fontId="7" fillId="5" borderId="1" applyAlignment="1" pivotButton="0" quotePrefix="0" xfId="0">
      <alignment horizontal="center" vertical="center" wrapText="1"/>
    </xf>
    <xf numFmtId="9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164" fontId="9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164" fontId="7" fillId="9" borderId="1" applyAlignment="1" pivotButton="0" quotePrefix="0" xfId="0">
      <alignment horizontal="center" vertical="center" wrapText="1"/>
    </xf>
    <xf numFmtId="164" fontId="9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center"/>
    </xf>
    <xf numFmtId="0" fontId="7" fillId="9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3">
    <dxf>
      <fill>
        <patternFill patternType="solid">
          <fgColor rgb="00E6F3EC"/>
        </patternFill>
      </fill>
    </dxf>
    <dxf>
      <fill>
        <patternFill patternType="solid">
          <fgColor rgb="00FFF3D8"/>
        </patternFill>
      </fill>
    </dxf>
    <dxf>
      <fill>
        <patternFill patternType="solid">
          <fgColor rgb="00FBE9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当前分 vs 训练目标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'总览'!B5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'总览'!$A$6:$A$8</f>
            </numRef>
          </cat>
          <val>
            <numRef>
              <f>'总览'!$B$6:$B$8</f>
            </numRef>
          </val>
        </ser>
        <ser>
          <idx val="1"/>
          <order val="1"/>
          <tx>
            <strRef>
              <f>'总览'!C5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'总览'!$A$6:$A$8</f>
            </numRef>
          </cat>
          <val>
            <numRef>
              <f>'总览'!$C$6:$C$8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模块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分数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Codex</author>
  </authors>
  <commentList>
    <comment ref="B5" authorId="0" shapeId="0">
      <text>
        <t>示例：2026-09-12。删除本提示不影响表格。</t>
      </text>
    </comment>
    <comment ref="H5" authorId="0" shapeId="0">
      <text>
        <t>根因要可行动，例如“没听到转折词”，不要只写“粗心”。</t>
      </text>
    </comment>
    <comment ref="J5" authorId="0" shapeId="0">
      <text>
        <t>示例：下次先圈定位词；听到 however 立即回到题干。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450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ilyPlan" displayName="DailyPlan" ref="A1:Q98" headerRowCount="1">
  <autoFilter ref="A1:Q98"/>
  <tableColumns count="17">
    <tableColumn id="1" name="日期"/>
    <tableColumn id="2" name="周次"/>
    <tableColumn id="3" name="星期"/>
    <tableColumn id="4" name="阶段"/>
    <tableColumn id="5" name="日型"/>
    <tableColumn id="6" name="计划(min)"/>
    <tableColumn id="7" name="单词"/>
    <tableColumn id="8" name="听力"/>
    <tableColumn id="9" name="阅读"/>
    <tableColumn id="10" name="写作/翻译"/>
    <tableColumn id="11" name="复盘/输出"/>
    <tableColumn id="12" name="资料/编号"/>
    <tableColumn id="13" name="当日完成标准"/>
    <tableColumn id="14" name="状态"/>
    <tableColumn id="15" name="实际(min)"/>
    <tableColumn id="16" name="自评(1-5)"/>
    <tableColumn id="17" name="备注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bbdc.cn/" TargetMode="External" Id="rId1"/><Relationship Type="http://schemas.openxmlformats.org/officeDocument/2006/relationships/hyperlink" Target="https://dict.eudic.net/ting" TargetMode="External" Id="rId2"/><Relationship Type="http://schemas.openxmlformats.org/officeDocument/2006/relationships/hyperlink" Target="https://www.bbc.co.uk/learningenglish/english/features/6-minute-english" TargetMode="External" Id="rId3"/><Relationship Type="http://schemas.openxmlformats.org/officeDocument/2006/relationships/hyperlink" Target="https://cet.neea.edu.cn/html1/category/16093/1124-1.htm" TargetMode="External" Id="rId4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hyperlink" Target="https://cet.neea.edu.cn/html1/category/16093/1124-1.htm" TargetMode="External" Id="rId1"/><Relationship Type="http://schemas.openxmlformats.org/officeDocument/2006/relationships/hyperlink" Target="https://cet-kw.neea.edu.cn/Home/TestDatePlan.html" TargetMode="External" Id="rId2"/><Relationship Type="http://schemas.openxmlformats.org/officeDocument/2006/relationships/hyperlink" Target="https://cet.neea.edu.cn/xhtml1/folder/16113/1586-1.htm" TargetMode="External" Id="rId3"/><Relationship Type="http://schemas.openxmlformats.org/officeDocument/2006/relationships/hyperlink" Target="https://cet.neea.edu.cn/html1/report/2603/2-1.htm" TargetMode="External" Id="rId4"/><Relationship Type="http://schemas.openxmlformats.org/officeDocument/2006/relationships/hyperlink" Target="https://www.gov.cn/zhengce/zhengceku/202511/content_7047091.htm" TargetMode="External" Id="rId5"/><Relationship Type="http://schemas.openxmlformats.org/officeDocument/2006/relationships/hyperlink" Target="https://edu.sh.gov.cn/cmsres/28/286d084bda7e46cea1e7d4702b480c86/19d146e3093dac64c68581d795a298e2.pdf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1" customWidth="1" min="5" max="5"/>
    <col width="14" customWidth="1" min="6" max="6"/>
    <col width="3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 ht="34" customHeight="1">
      <c r="A1" s="1" t="inlineStr">
        <is>
          <t>2026 年 12 月 CET-6 425+ 备考计划</t>
        </is>
      </c>
    </row>
    <row r="2" ht="25" customHeight="1">
      <c r="A2" s="2" t="inlineStr">
        <is>
          <t>初版 v1.0｜按 450 能力构建容错｜莆田学院｜生成于 2026-08-27</t>
        </is>
      </c>
    </row>
    <row r="3"/>
    <row r="4" ht="25" customHeight="1">
      <c r="A4" s="3" t="inlineStr">
        <is>
          <t>一眼看懂：当前差距与目标</t>
        </is>
      </c>
    </row>
    <row r="5" ht="30" customHeight="1">
      <c r="A5" s="4" t="inlineStr">
        <is>
          <t>模块</t>
        </is>
      </c>
      <c r="B5" s="4" t="inlineStr">
        <is>
          <t>当前分</t>
        </is>
      </c>
      <c r="C5" s="4" t="inlineStr">
        <is>
          <t>训练目标</t>
        </is>
      </c>
      <c r="D5" s="4" t="inlineStr">
        <is>
          <t>需提升</t>
        </is>
      </c>
      <c r="E5" s="4" t="inlineStr">
        <is>
          <t>策略</t>
        </is>
      </c>
      <c r="F5" s="4" t="inlineStr">
        <is>
          <t>优先级</t>
        </is>
      </c>
    </row>
    <row r="6" ht="34" customHeight="1">
      <c r="A6" s="5" t="inlineStr">
        <is>
          <t>听力</t>
        </is>
      </c>
      <c r="B6" s="5" t="n">
        <v>78</v>
      </c>
      <c r="C6" s="5" t="n">
        <v>150</v>
      </c>
      <c r="D6" s="5">
        <f>C6-B6</f>
        <v/>
      </c>
      <c r="E6" s="5" t="inlineStr">
        <is>
          <t>真题原音；讲座/讲话和错句精听优先</t>
        </is>
      </c>
      <c r="F6" s="5" t="inlineStr">
        <is>
          <t>核心</t>
        </is>
      </c>
    </row>
    <row r="7" ht="34" customHeight="1">
      <c r="A7" s="5" t="inlineStr">
        <is>
          <t>阅读</t>
        </is>
      </c>
      <c r="B7" s="5" t="n">
        <v>86</v>
      </c>
      <c r="C7" s="5" t="n">
        <v>165</v>
      </c>
      <c r="D7" s="5">
        <f>C7-B7</f>
        <v/>
      </c>
      <c r="E7" s="5" t="inlineStr">
        <is>
          <t>仔细阅读 + 长篇匹配优先；选词填空低投入</t>
        </is>
      </c>
      <c r="F7" s="5" t="inlineStr">
        <is>
          <t>核心</t>
        </is>
      </c>
    </row>
    <row r="8" ht="34" customHeight="1">
      <c r="A8" s="5" t="inlineStr">
        <is>
          <t>写作+翻译</t>
        </is>
      </c>
      <c r="B8" s="5" t="n">
        <v>117</v>
      </c>
      <c r="C8" s="5" t="n">
        <v>135</v>
      </c>
      <c r="D8" s="5">
        <f>C8-B8</f>
        <v/>
      </c>
      <c r="E8" s="5" t="inlineStr">
        <is>
          <t>每周 1 篇完整输出 + 改写；维持优势</t>
        </is>
      </c>
      <c r="F8" s="5" t="inlineStr">
        <is>
          <t>维持提分</t>
        </is>
      </c>
    </row>
    <row r="9" ht="34" customHeight="1">
      <c r="A9" s="6" t="inlineStr">
        <is>
          <t>总分</t>
        </is>
      </c>
      <c r="B9" s="6" t="n">
        <v>281</v>
      </c>
      <c r="C9" s="6" t="n">
        <v>450</v>
      </c>
      <c r="D9" s="6">
        <f>C9-B9</f>
        <v/>
      </c>
      <c r="E9" s="6" t="inlineStr">
        <is>
          <t>以两次连续 425+、至少一次 450 左右为考前信号</t>
        </is>
      </c>
      <c r="F9" s="6" t="inlineStr">
        <is>
          <t>目标</t>
        </is>
      </c>
    </row>
    <row r="10"/>
    <row r="11" ht="25" customHeight="1">
      <c r="A11" s="7" t="inlineStr">
        <is>
          <t>考试与校历状态</t>
        </is>
      </c>
    </row>
    <row r="12" ht="30" customHeight="1">
      <c r="A12" s="8" t="inlineStr">
        <is>
          <t>事项</t>
        </is>
      </c>
      <c r="B12" s="8" t="inlineStr">
        <is>
          <t>日期</t>
        </is>
      </c>
      <c r="C12" s="8" t="inlineStr">
        <is>
          <t>状态</t>
        </is>
      </c>
      <c r="D12" s="8" t="inlineStr">
        <is>
          <t>计划处理</t>
        </is>
      </c>
    </row>
    <row r="13" ht="32" customHeight="1">
      <c r="A13" s="9" t="inlineStr">
        <is>
          <t>正式开练</t>
        </is>
      </c>
      <c r="B13" s="10" t="n">
        <v>46272</v>
      </c>
      <c r="C13" s="9" t="inlineStr">
        <is>
          <t>已确认</t>
        </is>
      </c>
      <c r="D13" s="9" t="inlineStr">
        <is>
          <t>校历 9/7 开学</t>
        </is>
      </c>
    </row>
    <row r="14" ht="32" customHeight="1">
      <c r="A14" s="9" t="inlineStr">
        <is>
          <t>中秋节</t>
        </is>
      </c>
      <c r="B14" s="10" t="n">
        <v>46290</v>
      </c>
      <c r="C14" s="9" t="inlineStr">
        <is>
          <t>已确认</t>
        </is>
      </c>
      <c r="D14" s="9" t="inlineStr">
        <is>
          <t>9/25 轻量；国务院假期 9/25–27</t>
        </is>
      </c>
    </row>
    <row r="15" ht="32" customHeight="1">
      <c r="A15" s="9" t="inlineStr">
        <is>
          <t>新加坡旅行</t>
        </is>
      </c>
      <c r="B15" s="9" t="inlineStr">
        <is>
          <t>2026-09-30 至 2026-10-05</t>
        </is>
      </c>
      <c r="C15" s="9" t="inlineStr">
        <is>
          <t>用户确认</t>
        </is>
      </c>
      <c r="D15" s="9" t="inlineStr">
        <is>
          <t>9/30–10/1 仅词汇；10/2–10/5 完全留空</t>
        </is>
      </c>
    </row>
    <row r="16" ht="32" customHeight="1">
      <c r="A16" s="9" t="inlineStr">
        <is>
          <t>运动会</t>
        </is>
      </c>
      <c r="B16" s="9" t="inlineStr">
        <is>
          <t>2026-11-12 至 2026-11-14</t>
        </is>
      </c>
      <c r="C16" s="9" t="inlineStr">
        <is>
          <t>校历可明确识别</t>
        </is>
      </c>
      <c r="D16" s="9" t="inlineStr">
        <is>
          <t>三天只留词汇维护；不补课</t>
        </is>
      </c>
    </row>
    <row r="17" ht="32" customHeight="1">
      <c r="A17" s="11" t="inlineStr">
        <is>
          <t>CET-6 笔试</t>
        </is>
      </c>
      <c r="B17" s="12" t="n">
        <v>46368</v>
      </c>
      <c r="C17" s="11" t="inlineStr">
        <is>
          <t>待官方确认</t>
        </is>
      </c>
      <c r="D17" s="11" t="inlineStr">
        <is>
          <t>仅作倒排占位；暂按 15:00–17:25 预留</t>
        </is>
      </c>
    </row>
    <row r="18"/>
    <row r="19" ht="25" customHeight="1">
      <c r="A19" s="3" t="inlineStr">
        <is>
          <t>阶段路线</t>
        </is>
      </c>
    </row>
    <row r="20" ht="30" customHeight="1">
      <c r="A20" s="4" t="inlineStr">
        <is>
          <t>阶段</t>
        </is>
      </c>
      <c r="B20" s="4" t="inlineStr">
        <is>
          <t>日期</t>
        </is>
      </c>
      <c r="C20" s="4" t="inlineStr">
        <is>
          <t>主目标</t>
        </is>
      </c>
      <c r="D20" s="4" t="inlineStr">
        <is>
          <t>听力</t>
        </is>
      </c>
      <c r="E20" s="4" t="inlineStr">
        <is>
          <t>阅读</t>
        </is>
      </c>
      <c r="F20" s="4" t="inlineStr">
        <is>
          <t>写译</t>
        </is>
      </c>
    </row>
    <row r="21" ht="36" customHeight="1">
      <c r="A21" s="13" t="inlineStr">
        <is>
          <t>诊断期</t>
        </is>
      </c>
      <c r="B21" s="13" t="inlineStr">
        <is>
          <t>9/7–9/13</t>
        </is>
      </c>
      <c r="C21" s="13" t="inlineStr">
        <is>
          <t>完成 F0 基线并分类错因</t>
        </is>
      </c>
      <c r="D21" s="13" t="inlineStr">
        <is>
          <t>找主要失分点</t>
        </is>
      </c>
      <c r="E21" s="13" t="inlineStr">
        <is>
          <t>找主要失分点</t>
        </is>
      </c>
      <c r="F21" s="13" t="inlineStr">
        <is>
          <t>完成两项限时样本</t>
        </is>
      </c>
    </row>
    <row r="22" ht="36" customHeight="1">
      <c r="A22" s="14" t="inlineStr">
        <is>
          <t>基础期</t>
        </is>
      </c>
      <c r="B22" s="14" t="inlineStr">
        <is>
          <t>9/14–10/11</t>
        </is>
      </c>
      <c r="C22" s="14" t="inlineStr">
        <is>
          <t>把做题流程固定下来</t>
        </is>
      </c>
      <c r="D22" s="14" t="inlineStr">
        <is>
          <t>长对话/篇章/讲座逐类</t>
        </is>
      </c>
      <c r="E22" s="14" t="inlineStr">
        <is>
          <t>证据定位与同义替换</t>
        </is>
      </c>
      <c r="F22" s="14" t="inlineStr">
        <is>
          <t>每周 1 次完整输出</t>
        </is>
      </c>
    </row>
    <row r="23" ht="36" customHeight="1">
      <c r="A23" s="13" t="inlineStr">
        <is>
          <t>强化期</t>
        </is>
      </c>
      <c r="B23" s="13" t="inlineStr">
        <is>
          <t>10/12–11/1</t>
        </is>
      </c>
      <c r="C23" s="13" t="inlineStr">
        <is>
          <t>整模块计时 + 首次全真</t>
        </is>
      </c>
      <c r="D23" s="13" t="inlineStr">
        <is>
          <t>14–15/25</t>
        </is>
      </c>
      <c r="E23" s="13" t="inlineStr">
        <is>
          <t>18–19/30</t>
        </is>
      </c>
      <c r="F23" s="13" t="inlineStr">
        <is>
          <t>30 分钟内完成</t>
        </is>
      </c>
    </row>
    <row r="24" ht="36" customHeight="1">
      <c r="A24" s="14" t="inlineStr">
        <is>
          <t>模考期</t>
        </is>
      </c>
      <c r="B24" s="14" t="inlineStr">
        <is>
          <t>11/2–11/29</t>
        </is>
      </c>
      <c r="C24" s="14" t="inlineStr">
        <is>
          <t>M02–M05 每周一套</t>
        </is>
      </c>
      <c r="D24" s="14" t="inlineStr">
        <is>
          <t>向 16–17/25 靠拢</t>
        </is>
      </c>
      <c r="E24" s="14" t="inlineStr">
        <is>
          <t>向 20–21/30 靠拢</t>
        </is>
      </c>
      <c r="F24" s="14" t="inlineStr">
        <is>
          <t>改写而非抄范文</t>
        </is>
      </c>
    </row>
    <row r="25" ht="36" customHeight="1">
      <c r="A25" s="13" t="inlineStr">
        <is>
          <t>冲刺期</t>
        </is>
      </c>
      <c r="B25" s="13" t="inlineStr">
        <is>
          <t>11/30–12/11</t>
        </is>
      </c>
      <c r="C25" s="13" t="inlineStr">
        <is>
          <t>M06 + 错题封口 + 减量</t>
        </is>
      </c>
      <c r="D25" s="13" t="inlineStr">
        <is>
          <t>保持原速手感</t>
        </is>
      </c>
      <c r="E25" s="13" t="inlineStr">
        <is>
          <t>稳定时间分配</t>
        </is>
      </c>
      <c r="F25" s="13" t="inlineStr">
        <is>
          <t>只复习个人骨架</t>
        </is>
      </c>
    </row>
    <row r="26"/>
    <row r="27" ht="25" customHeight="1">
      <c r="A27" s="15" t="inlineStr">
        <is>
          <t>执行数据（随每日计划更新）</t>
        </is>
      </c>
      <c r="H27" s="16" t="inlineStr">
        <is>
          <t>三条执行规则</t>
        </is>
      </c>
    </row>
    <row r="28" ht="37" customHeight="1">
      <c r="A28" s="17" t="inlineStr">
        <is>
          <t>指标</t>
        </is>
      </c>
      <c r="B28" s="17" t="inlineStr">
        <is>
          <t>当前值</t>
        </is>
      </c>
      <c r="C28" s="17" t="inlineStr">
        <is>
          <t>单位</t>
        </is>
      </c>
      <c r="H28" s="18" t="inlineStr">
        <is>
          <t>1. 未完成不整体顺延：只把当天最重要的一项放到周日，最多带 1 项欠账。</t>
        </is>
      </c>
    </row>
    <row r="29" ht="37" customHeight="1">
      <c r="A29" s="19" t="inlineStr">
        <is>
          <t>计划学习天数</t>
        </is>
      </c>
      <c r="B29" s="20">
        <f>COUNTIF('每日计划'!$F:$F,"&gt;0")</f>
        <v/>
      </c>
      <c r="C29" s="21" t="inlineStr">
        <is>
          <t>天</t>
        </is>
      </c>
      <c r="H29" s="9" t="inlineStr">
        <is>
          <t>2. 最低可执行版（忙到爆时）：10 分钟到期词 + 15 分钟错句盲听 + 15 分钟仔细阅读证据定位，共 40 分钟。</t>
        </is>
      </c>
    </row>
    <row r="30" ht="37" customHeight="1">
      <c r="A30" s="19" t="inlineStr">
        <is>
          <t>已完成天数</t>
        </is>
      </c>
      <c r="B30" s="20">
        <f>COUNTIF('每日计划'!$N:$N,"已完成")</f>
        <v/>
      </c>
      <c r="C30" s="21" t="inlineStr">
        <is>
          <t>天</t>
        </is>
      </c>
      <c r="H30" s="18" t="inlineStr">
        <is>
          <t>3. 真题顺序：F0/D01–D05 可拆；M01–M06 必须保留到指定模考日，提前不看答案。</t>
        </is>
      </c>
    </row>
    <row r="31" ht="37" customHeight="1">
      <c r="A31" s="19" t="inlineStr">
        <is>
          <t>总体完成率</t>
        </is>
      </c>
      <c r="B31" s="22">
        <f>IFERROR(B30/B29,0)</f>
        <v/>
      </c>
      <c r="C31" s="21" t="inlineStr">
        <is>
          <t>%</t>
        </is>
      </c>
      <c r="H31" s="9" t="inlineStr">
        <is>
          <t>4. 估分只能看趋势：CET 采用常模转换，原始正确数不能简单线性换算成 710 分制。</t>
        </is>
      </c>
    </row>
    <row r="32" ht="37" customHeight="1">
      <c r="A32" s="19" t="inlineStr">
        <is>
          <t>计划总时长</t>
        </is>
      </c>
      <c r="B32" s="23">
        <f>SUM('每日计划'!$F:$F)/60</f>
        <v/>
      </c>
      <c r="C32" s="21" t="inlineStr">
        <is>
          <t>小时</t>
        </is>
      </c>
      <c r="H32" s="18" t="inlineStr">
        <is>
          <t>5. 若正式考试晚于 12/12：将 12/12 改为轻量全真/复测，并重复最后冲刺周；若提前，则从考前 6 天直接执行第 14 周。</t>
        </is>
      </c>
    </row>
    <row r="33">
      <c r="A33" s="19" t="inlineStr">
        <is>
          <t>实际总时长</t>
        </is>
      </c>
      <c r="B33" s="23">
        <f>SUM('每日计划'!$O:$O)/60</f>
        <v/>
      </c>
      <c r="C33" s="21" t="inlineStr">
        <is>
          <t>小时</t>
        </is>
      </c>
    </row>
    <row r="34">
      <c r="A34" s="19" t="inlineStr">
        <is>
          <t>最近模考估分</t>
        </is>
      </c>
      <c r="B34" s="20">
        <f>IFERROR(LOOKUP(2,1/('模考记录'!$H:$H&lt;&gt;""),'模考记录'!$H:$H),"待填写")</f>
        <v/>
      </c>
      <c r="C34" s="21" t="inlineStr">
        <is>
          <t>分</t>
        </is>
      </c>
    </row>
    <row r="35"/>
    <row r="36" ht="25" customHeight="1">
      <c r="A36" s="7" t="inlineStr">
        <is>
          <t>官方状态说明（务必保留）</t>
        </is>
      </c>
    </row>
    <row r="37" ht="32" customHeight="1">
      <c r="A37" s="24" t="inlineStr">
        <is>
          <t>截至 2026-08-27，教育部教育考试院 CET 考试动态与报名网仍未发布 2026 年下半年正式报名/考试公告。本计划以 2026-12-12 为倒排占位日；上海市年度考试计划曾列该日，但它不是本次中央正式公告，且年度计划可能调整。CET-6 暂按近次官方时段 15:00–17:25 预留，最终以教育部教育考试院公告、莆田学院通知和准考证为准。</t>
        </is>
      </c>
    </row>
    <row r="38" ht="32" customHeight="1"/>
  </sheetData>
  <mergeCells count="14">
    <mergeCell ref="H27:L27"/>
    <mergeCell ref="A2:L2"/>
    <mergeCell ref="A11:F11"/>
    <mergeCell ref="H30:L30"/>
    <mergeCell ref="A37:L38"/>
    <mergeCell ref="H29:L29"/>
    <mergeCell ref="A19:F19"/>
    <mergeCell ref="A1:L1"/>
    <mergeCell ref="H32:L32"/>
    <mergeCell ref="A27:F27"/>
    <mergeCell ref="A36:L36"/>
    <mergeCell ref="H28:L28"/>
    <mergeCell ref="A4:F4"/>
    <mergeCell ref="H31:L31"/>
  </mergeCells>
  <pageMargins left="0.75" right="0.75" top="1" bottom="1" header="0.5" footer="0.5"/>
  <pageSetup orientation="landscape" fitToHeight="2" fitToWidth="1"/>
  <headerFooter>
    <oddHeader/>
    <oddFooter>&amp;L&amp;8 &amp;K6670852026 CET-6 425+ 计划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98"/>
  <sheetViews>
    <sheetView showGridLines="0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8" customWidth="1" min="3" max="3"/>
    <col width="11" customWidth="1" min="4" max="4"/>
    <col width="17" customWidth="1" min="5" max="5"/>
    <col width="10" customWidth="1" min="6" max="6"/>
    <col width="35" customWidth="1" min="7" max="7"/>
    <col width="44" customWidth="1" min="8" max="8"/>
    <col width="44" customWidth="1" min="9" max="9"/>
    <col width="40" customWidth="1" min="10" max="10"/>
    <col width="40" customWidth="1" min="11" max="11"/>
    <col width="28" customWidth="1" min="12" max="12"/>
    <col width="42" customWidth="1" min="13" max="13"/>
    <col width="12" customWidth="1" min="14" max="14"/>
    <col width="11" customWidth="1" min="15" max="15"/>
    <col width="11" customWidth="1" min="16" max="16"/>
    <col width="32" customWidth="1" min="17" max="17"/>
  </cols>
  <sheetData>
    <row r="1" ht="34" customHeight="1">
      <c r="A1" s="4" t="inlineStr">
        <is>
          <t>日期</t>
        </is>
      </c>
      <c r="B1" s="4" t="inlineStr">
        <is>
          <t>周次</t>
        </is>
      </c>
      <c r="C1" s="4" t="inlineStr">
        <is>
          <t>星期</t>
        </is>
      </c>
      <c r="D1" s="4" t="inlineStr">
        <is>
          <t>阶段</t>
        </is>
      </c>
      <c r="E1" s="4" t="inlineStr">
        <is>
          <t>日型</t>
        </is>
      </c>
      <c r="F1" s="4" t="inlineStr">
        <is>
          <t>计划(min)</t>
        </is>
      </c>
      <c r="G1" s="4" t="inlineStr">
        <is>
          <t>单词</t>
        </is>
      </c>
      <c r="H1" s="4" t="inlineStr">
        <is>
          <t>听力</t>
        </is>
      </c>
      <c r="I1" s="4" t="inlineStr">
        <is>
          <t>阅读</t>
        </is>
      </c>
      <c r="J1" s="4" t="inlineStr">
        <is>
          <t>写作/翻译</t>
        </is>
      </c>
      <c r="K1" s="4" t="inlineStr">
        <is>
          <t>复盘/输出</t>
        </is>
      </c>
      <c r="L1" s="4" t="inlineStr">
        <is>
          <t>资料/编号</t>
        </is>
      </c>
      <c r="M1" s="4" t="inlineStr">
        <is>
          <t>当日完成标准</t>
        </is>
      </c>
      <c r="N1" s="4" t="inlineStr">
        <is>
          <t>状态</t>
        </is>
      </c>
      <c r="O1" s="4" t="inlineStr">
        <is>
          <t>实际(min)</t>
        </is>
      </c>
      <c r="P1" s="4" t="inlineStr">
        <is>
          <t>自评(1-5)</t>
        </is>
      </c>
      <c r="Q1" s="4" t="inlineStr">
        <is>
          <t>备注</t>
        </is>
      </c>
    </row>
    <row r="2" ht="72" customHeight="1">
      <c r="A2" s="25" t="n">
        <v>46272</v>
      </c>
      <c r="B2" s="26" t="n">
        <v>1</v>
      </c>
      <c r="C2" s="26" t="inlineStr">
        <is>
          <t>周一</t>
        </is>
      </c>
      <c r="D2" s="26" t="inlineStr">
        <is>
          <t>诊断期</t>
        </is>
      </c>
      <c r="E2" s="27" t="inlineStr">
        <is>
          <t>工作日</t>
        </is>
      </c>
      <c r="F2" s="27" t="n">
        <v>105</v>
      </c>
      <c r="G2" s="28" t="inlineStr">
        <is>
          <t>[25min] 安装/选定不背单词，选择六级词书；做 10 分钟词汇熟悉度抽测后开始新词 30</t>
        </is>
      </c>
      <c r="H2" s="28" t="inlineStr">
        <is>
          <t>[20min] 阅读 CET-6 听力题型与答题顺序；试听随书音频，确认设备</t>
        </is>
      </c>
      <c r="I2" s="28" t="inlineStr">
        <is>
          <t>[20min] 阅读题型与时间分配：选词 8 分钟、匹配 12 分钟、仔细阅读 20 分钟</t>
        </is>
      </c>
      <c r="J2" s="28" t="inlineStr">
        <is>
          <t>[20min] 看 1 道作文和 1 道翻译要求，只做审题不看范文</t>
        </is>
      </c>
      <c r="K2" s="28" t="inlineStr">
        <is>
          <t>[20min] 建立真题编号 F0/D01–D05/M01–M06；填写总览基础分</t>
        </is>
      </c>
      <c r="L2" s="28" t="inlineStr">
        <is>
          <t>本工作簿；真题册说明页；不背单词</t>
        </is>
      </c>
      <c r="M2" s="28" t="inlineStr">
        <is>
          <t>所有工具可用；12 套真题已编号；未提前看保留模考卷答案</t>
        </is>
      </c>
      <c r="N2" s="26" t="inlineStr">
        <is>
          <t>未开始</t>
        </is>
      </c>
      <c r="O2" s="26" t="n"/>
      <c r="P2" s="26" t="n"/>
      <c r="Q2" s="28" t="n"/>
    </row>
    <row r="3" ht="72" customHeight="1">
      <c r="A3" s="25" t="n">
        <v>46273</v>
      </c>
      <c r="B3" s="26" t="n">
        <v>1</v>
      </c>
      <c r="C3" s="26" t="inlineStr">
        <is>
          <t>周二</t>
        </is>
      </c>
      <c r="D3" s="26" t="inlineStr">
        <is>
          <t>诊断期</t>
        </is>
      </c>
      <c r="E3" s="27" t="inlineStr">
        <is>
          <t>工作日</t>
        </is>
      </c>
      <c r="F3" s="27" t="n">
        <v>110</v>
      </c>
      <c r="G3" s="28" t="inlineStr">
        <is>
          <t>[25min] 新词 35 + 到期复习</t>
        </is>
      </c>
      <c r="H3" s="28" t="inlineStr">
        <is>
          <t>[45min] 用真题册例题做 1 组听力：限时→标错因→精听 6 个难句</t>
        </is>
      </c>
      <c r="I3" s="28" t="inlineStr">
        <is>
          <t>[20min] 把听力错因分为听不出、词不懂、定位错、走神</t>
        </is>
      </c>
      <c r="J3" s="28" t="inlineStr"/>
      <c r="K3" s="28" t="inlineStr">
        <is>
          <t>[20min] 记录耳机/音量、最易走神的时段和应对动作</t>
        </is>
      </c>
      <c r="L3" s="28" t="inlineStr">
        <is>
          <t>真题册例题（非 F0）；随书音频</t>
        </is>
      </c>
      <c r="M3" s="28" t="inlineStr">
        <is>
          <t>至少找到 2 个主要听力问题；6 个难句可原速跟读</t>
        </is>
      </c>
      <c r="N3" s="26" t="inlineStr">
        <is>
          <t>未开始</t>
        </is>
      </c>
      <c r="O3" s="26" t="n"/>
      <c r="P3" s="26" t="n"/>
      <c r="Q3" s="28" t="n"/>
    </row>
    <row r="4" ht="72" customHeight="1">
      <c r="A4" s="25" t="n">
        <v>46274</v>
      </c>
      <c r="B4" s="26" t="n">
        <v>1</v>
      </c>
      <c r="C4" s="26" t="inlineStr">
        <is>
          <t>周三</t>
        </is>
      </c>
      <c r="D4" s="26" t="inlineStr">
        <is>
          <t>诊断期</t>
        </is>
      </c>
      <c r="E4" s="27" t="inlineStr">
        <is>
          <t>工作日</t>
        </is>
      </c>
      <c r="F4" s="27" t="n">
        <v>110</v>
      </c>
      <c r="G4" s="28" t="inlineStr">
        <is>
          <t>[25min] 新词 35 + 到期复习</t>
        </is>
      </c>
      <c r="H4" s="28" t="inlineStr"/>
      <c r="I4" s="28" t="inlineStr">
        <is>
          <t>[60min] 用真题册例题做：匹配 1 篇 + 仔细阅读 1 篇；逐题圈定位句和同义替换</t>
        </is>
      </c>
      <c r="J4" s="28" t="inlineStr"/>
      <c r="K4" s="28" t="inlineStr">
        <is>
          <t>[25min] 把阅读错因分为词汇、定位、长难句、逻辑、超时</t>
        </is>
      </c>
      <c r="L4" s="28" t="inlineStr">
        <is>
          <t>真题册例题（非 F0）</t>
        </is>
      </c>
      <c r="M4" s="28" t="inlineStr">
        <is>
          <t>完成阅读时间记录；每道错题都能归入一个错因</t>
        </is>
      </c>
      <c r="N4" s="26" t="inlineStr">
        <is>
          <t>未开始</t>
        </is>
      </c>
      <c r="O4" s="26" t="n"/>
      <c r="P4" s="26" t="n"/>
      <c r="Q4" s="28" t="n"/>
    </row>
    <row r="5" ht="72" customHeight="1">
      <c r="A5" s="25" t="n">
        <v>46275</v>
      </c>
      <c r="B5" s="26" t="n">
        <v>1</v>
      </c>
      <c r="C5" s="26" t="inlineStr">
        <is>
          <t>周四</t>
        </is>
      </c>
      <c r="D5" s="26" t="inlineStr">
        <is>
          <t>诊断期</t>
        </is>
      </c>
      <c r="E5" s="27" t="inlineStr">
        <is>
          <t>工作日</t>
        </is>
      </c>
      <c r="F5" s="27" t="n">
        <v>110</v>
      </c>
      <c r="G5" s="28" t="inlineStr">
        <is>
          <t>[25min] 新词 35 + 到期复习</t>
        </is>
      </c>
      <c r="H5" s="28" t="inlineStr"/>
      <c r="I5" s="28" t="inlineStr"/>
      <c r="J5" s="28" t="inlineStr">
        <is>
          <t>[60min] 作文 30 分钟 + 翻译 30 分钟，均独立完成后再看范文</t>
        </is>
      </c>
      <c r="K5" s="28" t="inlineStr">
        <is>
          <t>[25min] 各挑 3 个问题：审题/结构/语法/搭配；不抄整篇范文</t>
        </is>
      </c>
      <c r="L5" s="28" t="inlineStr">
        <is>
          <t>真题册例题；计时器</t>
        </is>
      </c>
      <c r="M5" s="28" t="inlineStr">
        <is>
          <t>两项都在时限内完成；得到各 3 个可执行改进点</t>
        </is>
      </c>
      <c r="N5" s="26" t="inlineStr">
        <is>
          <t>未开始</t>
        </is>
      </c>
      <c r="O5" s="26" t="n"/>
      <c r="P5" s="26" t="n"/>
      <c r="Q5" s="28" t="n"/>
    </row>
    <row r="6" ht="72" customHeight="1">
      <c r="A6" s="25" t="n">
        <v>46276</v>
      </c>
      <c r="B6" s="26" t="n">
        <v>1</v>
      </c>
      <c r="C6" s="26" t="inlineStr">
        <is>
          <t>周五</t>
        </is>
      </c>
      <c r="D6" s="26" t="inlineStr">
        <is>
          <t>诊断期</t>
        </is>
      </c>
      <c r="E6" s="27" t="inlineStr">
        <is>
          <t>工作日</t>
        </is>
      </c>
      <c r="F6" s="27" t="n">
        <v>95</v>
      </c>
      <c r="G6" s="28" t="inlineStr">
        <is>
          <t>[20min] 只做本周到期复习</t>
        </is>
      </c>
      <c r="H6" s="28" t="inlineStr">
        <is>
          <t>[20min] 重听 9/8 的 6 个难句，不看文本复述</t>
        </is>
      </c>
      <c r="I6" s="28" t="inlineStr">
        <is>
          <t>[20min] 重做 9/9 的错题，不看答案</t>
        </is>
      </c>
      <c r="J6" s="28" t="inlineStr">
        <is>
          <t>[15min] 整理明天 F0 模考的作文/翻译时间节点</t>
        </is>
      </c>
      <c r="K6" s="28" t="inlineStr">
        <is>
          <t>[20min] 写下基线预测与三条模考纪律；今晚减量</t>
        </is>
      </c>
      <c r="L6" s="28" t="inlineStr">
        <is>
          <t>本周错题；F0（不得翻阅）</t>
        </is>
      </c>
      <c r="M6" s="28" t="inlineStr">
        <is>
          <t>设备就绪；错题二测完成；今晚不加练</t>
        </is>
      </c>
      <c r="N6" s="26" t="inlineStr">
        <is>
          <t>未开始</t>
        </is>
      </c>
      <c r="O6" s="26" t="n"/>
      <c r="P6" s="26" t="n"/>
      <c r="Q6" s="28" t="n"/>
    </row>
    <row r="7" ht="72" customHeight="1">
      <c r="A7" s="29" t="n">
        <v>46277</v>
      </c>
      <c r="B7" s="30" t="n">
        <v>1</v>
      </c>
      <c r="C7" s="30" t="inlineStr">
        <is>
          <t>周六</t>
        </is>
      </c>
      <c r="D7" s="30" t="inlineStr">
        <is>
          <t>诊断期</t>
        </is>
      </c>
      <c r="E7" s="31" t="inlineStr">
        <is>
          <t>全真模考</t>
        </is>
      </c>
      <c r="F7" s="31" t="n">
        <v>170</v>
      </c>
      <c r="G7" s="32" t="inlineStr">
        <is>
          <t>[15min] 只复习到期词，不开新词</t>
        </is>
      </c>
      <c r="H7" s="32" t="inlineStr"/>
      <c r="I7" s="32" t="inlineStr"/>
      <c r="J7" s="32" t="inlineStr"/>
      <c r="K7" s="32" t="inlineStr">
        <is>
          <t>[155min] F0 全真 130 分钟：写作→听力→阅读→翻译，不暂停不查词；25 分钟核对并录入成绩</t>
        </is>
      </c>
      <c r="L7" s="32" t="inlineStr">
        <is>
          <t>F0（保留卷）；计时器；模考记录</t>
        </is>
      </c>
      <c r="M7" s="32" t="inlineStr">
        <is>
          <t>严格完成 130 分钟；出版社估分目标 记录基线；分数只看趋势，不做简单线性换算</t>
        </is>
      </c>
      <c r="N7" s="30" t="inlineStr">
        <is>
          <t>未开始</t>
        </is>
      </c>
      <c r="O7" s="30" t="n"/>
      <c r="P7" s="30" t="n"/>
      <c r="Q7" s="32" t="n"/>
    </row>
    <row r="8" ht="72" customHeight="1">
      <c r="A8" s="33" t="n">
        <v>46278</v>
      </c>
      <c r="B8" s="34" t="n">
        <v>1</v>
      </c>
      <c r="C8" s="34" t="inlineStr">
        <is>
          <t>周日</t>
        </is>
      </c>
      <c r="D8" s="34" t="inlineStr">
        <is>
          <t>诊断期</t>
        </is>
      </c>
      <c r="E8" s="35" t="inlineStr">
        <is>
          <t>模考复盘</t>
        </is>
      </c>
      <c r="F8" s="35" t="n">
        <v>170</v>
      </c>
      <c r="G8" s="36" t="inlineStr">
        <is>
          <t>[20min] 模考错词 + 到期词，不开新词</t>
        </is>
      </c>
      <c r="H8" s="36" t="inlineStr">
        <is>
          <t>[45min] F0 听力错段：先盲听，再看文本听写 8 句，最后原速复测</t>
        </is>
      </c>
      <c r="I8" s="36" t="inlineStr">
        <is>
          <t>[45min] F0 阅读错题：重做、标定位句、写干扰项陷阱</t>
        </is>
      </c>
      <c r="J8" s="36" t="inlineStr">
        <is>
          <t>[40min] F0 作文/翻译：各选最差 1 段改写；只保留 3 个可复用句型</t>
        </is>
      </c>
      <c r="K8" s="36" t="inlineStr">
        <is>
          <t>[20min] 填写每周复盘和错题记录；下周只修最大 2 个问题</t>
        </is>
      </c>
      <c r="L8" s="36" t="inlineStr">
        <is>
          <t>F0；错题记录；每周复盘</t>
        </is>
      </c>
      <c r="M8" s="36" t="inlineStr">
        <is>
          <t>四部分都有复盘产物；48 小时复测日期已写入错题表</t>
        </is>
      </c>
      <c r="N8" s="34" t="inlineStr">
        <is>
          <t>未开始</t>
        </is>
      </c>
      <c r="O8" s="34" t="n"/>
      <c r="P8" s="34" t="n"/>
      <c r="Q8" s="36" t="n"/>
    </row>
    <row r="9" ht="72" customHeight="1">
      <c r="A9" s="25" t="n">
        <v>46279</v>
      </c>
      <c r="B9" s="26" t="n">
        <v>2</v>
      </c>
      <c r="C9" s="26" t="inlineStr">
        <is>
          <t>周一</t>
        </is>
      </c>
      <c r="D9" s="26" t="inlineStr">
        <is>
          <t>基础期</t>
        </is>
      </c>
      <c r="E9" s="27" t="inlineStr">
        <is>
          <t>工作日</t>
        </is>
      </c>
      <c r="F9" s="27" t="n">
        <v>105</v>
      </c>
      <c r="G9" s="28" t="inlineStr">
        <is>
          <t>[25min] 不背单词·六级词书：新词 40（周末 50）+ 到期复习；20–25 分钟到点即停</t>
        </is>
      </c>
      <c r="H9" s="28" t="inlineStr">
        <is>
          <t>[40min] D01 长对话 1 组：限时作答→精听 2 轮→听写 6 个转折/问题句</t>
        </is>
      </c>
      <c r="I9" s="28" t="inlineStr">
        <is>
          <t>[30min] D01 仔细阅读 1 篇：10 分钟做题 + 20 分钟逐题定位证据</t>
        </is>
      </c>
      <c r="J9" s="28" t="inlineStr"/>
      <c r="K9" s="28" t="inlineStr">
        <is>
          <t>[10min] 错题写 1 条根因 + 1 条下次动作</t>
        </is>
      </c>
      <c r="L9" s="28" t="inlineStr">
        <is>
          <t>D01；不背单词；每日英语听力/随书音频</t>
        </is>
      </c>
      <c r="M9" s="28" t="inlineStr">
        <is>
          <t>能指出每道错题的原文证据；精听句可脱稿复述大意</t>
        </is>
      </c>
      <c r="N9" s="26" t="inlineStr">
        <is>
          <t>未开始</t>
        </is>
      </c>
      <c r="O9" s="26" t="n"/>
      <c r="P9" s="26" t="n"/>
      <c r="Q9" s="28" t="n"/>
    </row>
    <row r="10" ht="72" customHeight="1">
      <c r="A10" s="25" t="n">
        <v>46280</v>
      </c>
      <c r="B10" s="26" t="n">
        <v>2</v>
      </c>
      <c r="C10" s="26" t="inlineStr">
        <is>
          <t>周二</t>
        </is>
      </c>
      <c r="D10" s="26" t="inlineStr">
        <is>
          <t>基础期</t>
        </is>
      </c>
      <c r="E10" s="27" t="inlineStr">
        <is>
          <t>工作日</t>
        </is>
      </c>
      <c r="F10" s="27" t="n">
        <v>110</v>
      </c>
      <c r="G10" s="28" t="inlineStr">
        <is>
          <t>[25min] 不背单词·六级词书：新词 40（周末 50）+ 到期复习；20–25 分钟到点即停</t>
        </is>
      </c>
      <c r="H10" s="28" t="inlineStr">
        <is>
          <t>[30min] D01 篇章听力 1 组：先盲听作答，再逐句回放难句</t>
        </is>
      </c>
      <c r="I10" s="28" t="inlineStr">
        <is>
          <t>[35min] D01 长篇匹配：15 分钟限时 + 20 分钟整理同义替换</t>
        </is>
      </c>
      <c r="J10" s="28" t="inlineStr">
        <is>
          <t>[20min] 真题翻译 3–4 句：先独立写，再对照范文只改语法和搭配</t>
        </is>
      </c>
      <c r="K10" s="28" t="inlineStr"/>
      <c r="L10" s="28" t="inlineStr">
        <is>
          <t>D01；真题范文</t>
        </is>
      </c>
      <c r="M10" s="28" t="inlineStr">
        <is>
          <t>记录至少 5 组同义替换；翻译改出 3 处可复用表达</t>
        </is>
      </c>
      <c r="N10" s="26" t="inlineStr">
        <is>
          <t>未开始</t>
        </is>
      </c>
      <c r="O10" s="26" t="n"/>
      <c r="P10" s="26" t="n"/>
      <c r="Q10" s="28" t="n"/>
    </row>
    <row r="11" ht="72" customHeight="1">
      <c r="A11" s="25" t="n">
        <v>46281</v>
      </c>
      <c r="B11" s="26" t="n">
        <v>2</v>
      </c>
      <c r="C11" s="26" t="inlineStr">
        <is>
          <t>周三</t>
        </is>
      </c>
      <c r="D11" s="26" t="inlineStr">
        <is>
          <t>基础期</t>
        </is>
      </c>
      <c r="E11" s="27" t="inlineStr">
        <is>
          <t>工作日</t>
        </is>
      </c>
      <c r="F11" s="27" t="n">
        <v>110</v>
      </c>
      <c r="G11" s="28" t="inlineStr">
        <is>
          <t>[25min] 不背单词·六级词书：新词 40（周末 50）+ 到期复习；20–25 分钟到点即停</t>
        </is>
      </c>
      <c r="H11" s="28" t="inlineStr">
        <is>
          <t>[45min] D01 讲座/讲话 1 组：画结构（主题→分点→例子）并跟读 8 句</t>
        </is>
      </c>
      <c r="I11" s="28" t="inlineStr">
        <is>
          <t>[30min] D01 仔细阅读 1 篇：训练长对话 + 仔细阅读，每题标定位词</t>
        </is>
      </c>
      <c r="J11" s="28" t="inlineStr">
        <is>
          <t>[10min] 写作：只列 3 段提纲 + 每段 1 个主题句</t>
        </is>
      </c>
      <c r="K11" s="28" t="inlineStr"/>
      <c r="L11" s="28" t="inlineStr">
        <is>
          <t>D01；随书听力文本</t>
        </is>
      </c>
      <c r="M11" s="28" t="inlineStr">
        <is>
          <t>能用中文复述讲座三层结构；提纲 10 分钟内完成</t>
        </is>
      </c>
      <c r="N11" s="26" t="inlineStr">
        <is>
          <t>未开始</t>
        </is>
      </c>
      <c r="O11" s="26" t="n"/>
      <c r="P11" s="26" t="n"/>
      <c r="Q11" s="28" t="n"/>
    </row>
    <row r="12" ht="72" customHeight="1">
      <c r="A12" s="25" t="n">
        <v>46282</v>
      </c>
      <c r="B12" s="26" t="n">
        <v>2</v>
      </c>
      <c r="C12" s="26" t="inlineStr">
        <is>
          <t>周四</t>
        </is>
      </c>
      <c r="D12" s="26" t="inlineStr">
        <is>
          <t>基础期</t>
        </is>
      </c>
      <c r="E12" s="27" t="inlineStr">
        <is>
          <t>工作日</t>
        </is>
      </c>
      <c r="F12" s="27" t="n">
        <v>115</v>
      </c>
      <c r="G12" s="28" t="inlineStr">
        <is>
          <t>[25min] 不背单词·六级词书：新词 40（周末 50）+ 到期复习；20–25 分钟到点即停</t>
        </is>
      </c>
      <c r="H12" s="28" t="inlineStr">
        <is>
          <t>[35min] D01 讲座/讲话第 2 组：限时 + 错句精听 + 隔句跟读</t>
        </is>
      </c>
      <c r="I12" s="28" t="inlineStr">
        <is>
          <t>[40min] D01 仔细阅读第 2 篇：12 分钟做题 + 28 分钟错项排除</t>
        </is>
      </c>
      <c r="J12" s="28" t="inlineStr">
        <is>
          <t>[15min] 翻译：复写本周 5 个高频句型，换主题词各造 1 句</t>
        </is>
      </c>
      <c r="K12" s="28" t="inlineStr"/>
      <c r="L12" s="28" t="inlineStr">
        <is>
          <t>D01；错题记录</t>
        </is>
      </c>
      <c r="M12" s="28" t="inlineStr">
        <is>
          <t>讲座错题二次作答全对；阅读能解释 4 个干扰项为何错</t>
        </is>
      </c>
      <c r="N12" s="26" t="inlineStr">
        <is>
          <t>未开始</t>
        </is>
      </c>
      <c r="O12" s="26" t="n"/>
      <c r="P12" s="26" t="n"/>
      <c r="Q12" s="28" t="n"/>
    </row>
    <row r="13" ht="72" customHeight="1">
      <c r="A13" s="25" t="n">
        <v>46283</v>
      </c>
      <c r="B13" s="26" t="n">
        <v>2</v>
      </c>
      <c r="C13" s="26" t="inlineStr">
        <is>
          <t>周五</t>
        </is>
      </c>
      <c r="D13" s="26" t="inlineStr">
        <is>
          <t>基础期</t>
        </is>
      </c>
      <c r="E13" s="27" t="inlineStr">
        <is>
          <t>工作日</t>
        </is>
      </c>
      <c r="F13" s="27" t="n">
        <v>100</v>
      </c>
      <c r="G13" s="28" t="inlineStr">
        <is>
          <t>[20min] 本周词汇到期复习，不加量</t>
        </is>
      </c>
      <c r="H13" s="28" t="inlineStr">
        <is>
          <t>[25min] 本周精听句盲听复测：不看文本写关键词，错句回放 1 次</t>
        </is>
      </c>
      <c r="I13" s="28" t="inlineStr">
        <is>
          <t>[30min] D01 选词填空 1 篇：12 分钟限时；只总结词性和固定搭配</t>
        </is>
      </c>
      <c r="J13" s="28" t="inlineStr">
        <is>
          <t>[20min] 写作：把周三提纲扩写为开头 + 结尾，各 3–4 句</t>
        </is>
      </c>
      <c r="K13" s="28" t="inlineStr">
        <is>
          <t>[5min] 标记周末优先复习的 3 个错误</t>
        </is>
      </c>
      <c r="L13" s="28" t="inlineStr">
        <is>
          <t>D01；本周错题</t>
        </is>
      </c>
      <c r="M13" s="28" t="inlineStr">
        <is>
          <t>精听复测正确率≥80%；形成 1 个可复用开头和结尾</t>
        </is>
      </c>
      <c r="N13" s="26" t="inlineStr">
        <is>
          <t>未开始</t>
        </is>
      </c>
      <c r="O13" s="26" t="n"/>
      <c r="P13" s="26" t="n"/>
      <c r="Q13" s="28" t="n"/>
    </row>
    <row r="14" ht="72" customHeight="1">
      <c r="A14" s="37" t="n">
        <v>46284</v>
      </c>
      <c r="B14" s="38" t="n">
        <v>2</v>
      </c>
      <c r="C14" s="38" t="inlineStr">
        <is>
          <t>周六</t>
        </is>
      </c>
      <c r="D14" s="38" t="inlineStr">
        <is>
          <t>基础期</t>
        </is>
      </c>
      <c r="E14" s="39" t="inlineStr">
        <is>
          <t>周末</t>
        </is>
      </c>
      <c r="F14" s="39" t="n">
        <v>165</v>
      </c>
      <c r="G14" s="40" t="inlineStr">
        <is>
          <t>[25min] 新词 50 + 到期复习</t>
        </is>
      </c>
      <c r="H14" s="40" t="inlineStr">
        <is>
          <t>[55min] D01 听力 25 题整套限时 30 分钟 + 25 分钟归因</t>
        </is>
      </c>
      <c r="I14" s="40" t="inlineStr">
        <is>
          <t>[50min] D01 阅读：长篇匹配 1 篇 + 仔细阅读 1 篇，均计时</t>
        </is>
      </c>
      <c r="J14" s="40" t="inlineStr">
        <is>
          <t>[20min] 写作：完成 1 个 30 分钟题目的审题、提纲和首段</t>
        </is>
      </c>
      <c r="K14" s="40" t="inlineStr">
        <is>
          <t>[15min] 将本日错题录入错题记录，安排 48 小时复测</t>
        </is>
      </c>
      <c r="L14" s="40" t="inlineStr">
        <is>
          <t>D01；计时器；错题记录</t>
        </is>
      </c>
      <c r="M14" s="40" t="inlineStr">
        <is>
          <t>听力全程不停；阅读总用时≤40 分钟；错题全部有根因标签</t>
        </is>
      </c>
      <c r="N14" s="38" t="inlineStr">
        <is>
          <t>未开始</t>
        </is>
      </c>
      <c r="O14" s="38" t="n"/>
      <c r="P14" s="38" t="n"/>
      <c r="Q14" s="40" t="n"/>
    </row>
    <row r="15" ht="72" customHeight="1">
      <c r="A15" s="41" t="n">
        <v>46285</v>
      </c>
      <c r="B15" s="42" t="n">
        <v>2</v>
      </c>
      <c r="C15" s="42" t="inlineStr">
        <is>
          <t>周日</t>
        </is>
      </c>
      <c r="D15" s="42" t="inlineStr">
        <is>
          <t>基础期</t>
        </is>
      </c>
      <c r="E15" s="43" t="inlineStr">
        <is>
          <t>调休上课日</t>
        </is>
      </c>
      <c r="F15" s="43" t="n">
        <v>110</v>
      </c>
      <c r="G15" s="44" t="inlineStr">
        <is>
          <t>[20min] 到期词复习；按工作日强度，不加新词</t>
        </is>
      </c>
      <c r="H15" s="44" t="inlineStr">
        <is>
          <t>[35min] D01 本周错句盲听 + 跟读；只修最常见错因</t>
        </is>
      </c>
      <c r="I15" s="44" t="inlineStr">
        <is>
          <t>[30min] D01 仔细阅读错题二测，重新标证据</t>
        </is>
      </c>
      <c r="J15" s="44" t="inlineStr">
        <is>
          <t>[15min] 完整翻译只改写最差 3 句</t>
        </is>
      </c>
      <c r="K15" s="44" t="inlineStr">
        <is>
          <t>[10min] 简版周复盘：下周唯一重点</t>
        </is>
      </c>
      <c r="L15" s="44" t="inlineStr">
        <is>
          <t>D01；国务院调休安排</t>
        </is>
      </c>
      <c r="M15" s="44" t="inlineStr">
        <is>
          <t>按调休上课日完成 110 分钟；不补成周末大课</t>
        </is>
      </c>
      <c r="N15" s="42" t="inlineStr">
        <is>
          <t>未开始</t>
        </is>
      </c>
      <c r="O15" s="42" t="n"/>
      <c r="P15" s="42" t="n"/>
      <c r="Q15" s="44" t="n"/>
    </row>
    <row r="16" ht="72" customHeight="1">
      <c r="A16" s="25" t="n">
        <v>46286</v>
      </c>
      <c r="B16" s="26" t="n">
        <v>3</v>
      </c>
      <c r="C16" s="26" t="inlineStr">
        <is>
          <t>周一</t>
        </is>
      </c>
      <c r="D16" s="26" t="inlineStr">
        <is>
          <t>基础期</t>
        </is>
      </c>
      <c r="E16" s="27" t="inlineStr">
        <is>
          <t>工作日</t>
        </is>
      </c>
      <c r="F16" s="27" t="n">
        <v>105</v>
      </c>
      <c r="G16" s="28" t="inlineStr">
        <is>
          <t>[25min] 不背单词·六级词书：新词 40（周末 50）+ 到期复习；20–25 分钟到点即停</t>
        </is>
      </c>
      <c r="H16" s="28" t="inlineStr">
        <is>
          <t>[40min] D02 长对话 1 组：限时作答→精听 2 轮→听写 6 个转折/问题句</t>
        </is>
      </c>
      <c r="I16" s="28" t="inlineStr">
        <is>
          <t>[30min] D02 仔细阅读 1 篇：10 分钟做题 + 20 分钟逐题定位证据</t>
        </is>
      </c>
      <c r="J16" s="28" t="inlineStr"/>
      <c r="K16" s="28" t="inlineStr">
        <is>
          <t>[10min] 错题写 1 条根因 + 1 条下次动作</t>
        </is>
      </c>
      <c r="L16" s="28" t="inlineStr">
        <is>
          <t>D02；不背单词；每日英语听力/随书音频</t>
        </is>
      </c>
      <c r="M16" s="28" t="inlineStr">
        <is>
          <t>能指出每道错题的原文证据；精听句可脱稿复述大意</t>
        </is>
      </c>
      <c r="N16" s="26" t="inlineStr">
        <is>
          <t>未开始</t>
        </is>
      </c>
      <c r="O16" s="26" t="n"/>
      <c r="P16" s="26" t="n"/>
      <c r="Q16" s="28" t="n"/>
    </row>
    <row r="17" ht="72" customHeight="1">
      <c r="A17" s="25" t="n">
        <v>46287</v>
      </c>
      <c r="B17" s="26" t="n">
        <v>3</v>
      </c>
      <c r="C17" s="26" t="inlineStr">
        <is>
          <t>周二</t>
        </is>
      </c>
      <c r="D17" s="26" t="inlineStr">
        <is>
          <t>基础期</t>
        </is>
      </c>
      <c r="E17" s="27" t="inlineStr">
        <is>
          <t>工作日</t>
        </is>
      </c>
      <c r="F17" s="27" t="n">
        <v>110</v>
      </c>
      <c r="G17" s="28" t="inlineStr">
        <is>
          <t>[25min] 不背单词·六级词书：新词 40（周末 50）+ 到期复习；20–25 分钟到点即停</t>
        </is>
      </c>
      <c r="H17" s="28" t="inlineStr">
        <is>
          <t>[30min] D02 篇章听力 1 组：先盲听作答，再逐句回放难句</t>
        </is>
      </c>
      <c r="I17" s="28" t="inlineStr">
        <is>
          <t>[35min] D02 长篇匹配：15 分钟限时 + 20 分钟整理同义替换</t>
        </is>
      </c>
      <c r="J17" s="28" t="inlineStr">
        <is>
          <t>[20min] 真题翻译 3–4 句：先独立写，再对照范文只改语法和搭配</t>
        </is>
      </c>
      <c r="K17" s="28" t="inlineStr"/>
      <c r="L17" s="28" t="inlineStr">
        <is>
          <t>D02；真题范文</t>
        </is>
      </c>
      <c r="M17" s="28" t="inlineStr">
        <is>
          <t>记录至少 5 组同义替换；翻译改出 3 处可复用表达</t>
        </is>
      </c>
      <c r="N17" s="26" t="inlineStr">
        <is>
          <t>未开始</t>
        </is>
      </c>
      <c r="O17" s="26" t="n"/>
      <c r="P17" s="26" t="n"/>
      <c r="Q17" s="28" t="n"/>
    </row>
    <row r="18" ht="72" customHeight="1">
      <c r="A18" s="25" t="n">
        <v>46288</v>
      </c>
      <c r="B18" s="26" t="n">
        <v>3</v>
      </c>
      <c r="C18" s="26" t="inlineStr">
        <is>
          <t>周三</t>
        </is>
      </c>
      <c r="D18" s="26" t="inlineStr">
        <is>
          <t>基础期</t>
        </is>
      </c>
      <c r="E18" s="27" t="inlineStr">
        <is>
          <t>工作日</t>
        </is>
      </c>
      <c r="F18" s="27" t="n">
        <v>110</v>
      </c>
      <c r="G18" s="28" t="inlineStr">
        <is>
          <t>[25min] 不背单词·六级词书：新词 40（周末 50）+ 到期复习；20–25 分钟到点即停</t>
        </is>
      </c>
      <c r="H18" s="28" t="inlineStr">
        <is>
          <t>[45min] D02 讲座/讲话 1 组：画结构（主题→分点→例子）并跟读 8 句</t>
        </is>
      </c>
      <c r="I18" s="28" t="inlineStr">
        <is>
          <t>[30min] D02 仔细阅读 1 篇：训练讲座讲话 + 推断题，每题标定位词</t>
        </is>
      </c>
      <c r="J18" s="28" t="inlineStr">
        <is>
          <t>[10min] 写作：只列 3 段提纲 + 每段 1 个主题句</t>
        </is>
      </c>
      <c r="K18" s="28" t="inlineStr"/>
      <c r="L18" s="28" t="inlineStr">
        <is>
          <t>D02；随书听力文本</t>
        </is>
      </c>
      <c r="M18" s="28" t="inlineStr">
        <is>
          <t>能用中文复述讲座三层结构；提纲 10 分钟内完成</t>
        </is>
      </c>
      <c r="N18" s="26" t="inlineStr">
        <is>
          <t>未开始</t>
        </is>
      </c>
      <c r="O18" s="26" t="n"/>
      <c r="P18" s="26" t="n"/>
      <c r="Q18" s="28" t="n"/>
    </row>
    <row r="19" ht="72" customHeight="1">
      <c r="A19" s="25" t="n">
        <v>46289</v>
      </c>
      <c r="B19" s="26" t="n">
        <v>3</v>
      </c>
      <c r="C19" s="26" t="inlineStr">
        <is>
          <t>周四</t>
        </is>
      </c>
      <c r="D19" s="26" t="inlineStr">
        <is>
          <t>基础期</t>
        </is>
      </c>
      <c r="E19" s="27" t="inlineStr">
        <is>
          <t>工作日</t>
        </is>
      </c>
      <c r="F19" s="27" t="n">
        <v>115</v>
      </c>
      <c r="G19" s="28" t="inlineStr">
        <is>
          <t>[25min] 不背单词·六级词书：新词 40（周末 50）+ 到期复习；20–25 分钟到点即停</t>
        </is>
      </c>
      <c r="H19" s="28" t="inlineStr">
        <is>
          <t>[35min] D02 讲座/讲话第 2 组：限时 + 错句精听 + 隔句跟读</t>
        </is>
      </c>
      <c r="I19" s="28" t="inlineStr">
        <is>
          <t>[40min] D02 仔细阅读第 2 篇：12 分钟做题 + 28 分钟错项排除</t>
        </is>
      </c>
      <c r="J19" s="28" t="inlineStr">
        <is>
          <t>[15min] 翻译：复写本周 5 个高频句型，换主题词各造 1 句</t>
        </is>
      </c>
      <c r="K19" s="28" t="inlineStr"/>
      <c r="L19" s="28" t="inlineStr">
        <is>
          <t>D02；错题记录</t>
        </is>
      </c>
      <c r="M19" s="28" t="inlineStr">
        <is>
          <t>讲座错题二次作答全对；阅读能解释 4 个干扰项为何错</t>
        </is>
      </c>
      <c r="N19" s="26" t="inlineStr">
        <is>
          <t>未开始</t>
        </is>
      </c>
      <c r="O19" s="26" t="n"/>
      <c r="P19" s="26" t="n"/>
      <c r="Q19" s="28" t="n"/>
    </row>
    <row r="20" ht="72" customHeight="1">
      <c r="A20" s="45" t="n">
        <v>46290</v>
      </c>
      <c r="B20" s="46" t="n">
        <v>3</v>
      </c>
      <c r="C20" s="46" t="inlineStr">
        <is>
          <t>周五</t>
        </is>
      </c>
      <c r="D20" s="46" t="inlineStr">
        <is>
          <t>基础期</t>
        </is>
      </c>
      <c r="E20" s="47" t="inlineStr">
        <is>
          <t>中秋·轻量</t>
        </is>
      </c>
      <c r="F20" s="47" t="n">
        <v>35</v>
      </c>
      <c r="G20" s="48" t="inlineStr">
        <is>
          <t>[20min] 到期词 + 本周错词；不加新词</t>
        </is>
      </c>
      <c r="H20" s="48" t="inlineStr">
        <is>
          <t>[15min] D02 精听句盲听一遍，能复述大意即可</t>
        </is>
      </c>
      <c r="I20" s="48" t="inlineStr"/>
      <c r="J20" s="48" t="inlineStr"/>
      <c r="K20" s="48" t="inlineStr"/>
      <c r="L20" s="48" t="inlineStr">
        <is>
          <t>不背单词；D02 音频</t>
        </is>
      </c>
      <c r="M20" s="48" t="inlineStr">
        <is>
          <t>35 分钟到点结束；不安排补课</t>
        </is>
      </c>
      <c r="N20" s="46" t="inlineStr">
        <is>
          <t>未开始</t>
        </is>
      </c>
      <c r="O20" s="46" t="n"/>
      <c r="P20" s="46" t="n"/>
      <c r="Q20" s="48" t="n"/>
    </row>
    <row r="21" ht="72" customHeight="1">
      <c r="A21" s="49" t="n">
        <v>46291</v>
      </c>
      <c r="B21" s="50" t="n">
        <v>3</v>
      </c>
      <c r="C21" s="50" t="inlineStr">
        <is>
          <t>周六</t>
        </is>
      </c>
      <c r="D21" s="50" t="inlineStr">
        <is>
          <t>基础期</t>
        </is>
      </c>
      <c r="E21" s="51" t="inlineStr">
        <is>
          <t>中秋假期·弹性</t>
        </is>
      </c>
      <c r="F21" s="51" t="n">
        <v>125</v>
      </c>
      <c r="G21" s="52" t="inlineStr">
        <is>
          <t>[20min] 新词 30 + 到期复习</t>
        </is>
      </c>
      <c r="H21" s="52" t="inlineStr">
        <is>
          <t>[45min] D02 听力整套限时 + 只改最有代表性的 5 题</t>
        </is>
      </c>
      <c r="I21" s="52" t="inlineStr">
        <is>
          <t>[35min] D02 仔细阅读 2 篇，计时并标证据</t>
        </is>
      </c>
      <c r="J21" s="52" t="inlineStr">
        <is>
          <t>[15min] 翻译错句改写 3 句</t>
        </is>
      </c>
      <c r="K21" s="52" t="inlineStr">
        <is>
          <t>[10min] 未完成可直接跳过，不顺延</t>
        </is>
      </c>
      <c r="L21" s="52" t="inlineStr">
        <is>
          <t>D02；计时器</t>
        </is>
      </c>
      <c r="M21" s="52" t="inlineStr">
        <is>
          <t>完成核心听读即可；总时长不超过 125 分钟</t>
        </is>
      </c>
      <c r="N21" s="50" t="inlineStr">
        <is>
          <t>未开始</t>
        </is>
      </c>
      <c r="O21" s="50" t="n"/>
      <c r="P21" s="50" t="n"/>
      <c r="Q21" s="52" t="n"/>
    </row>
    <row r="22" ht="72" customHeight="1">
      <c r="A22" s="49" t="n">
        <v>46292</v>
      </c>
      <c r="B22" s="50" t="n">
        <v>3</v>
      </c>
      <c r="C22" s="50" t="inlineStr">
        <is>
          <t>周日</t>
        </is>
      </c>
      <c r="D22" s="50" t="inlineStr">
        <is>
          <t>基础期</t>
        </is>
      </c>
      <c r="E22" s="51" t="inlineStr">
        <is>
          <t>中秋假期·弹性</t>
        </is>
      </c>
      <c r="F22" s="51" t="n">
        <v>145</v>
      </c>
      <c r="G22" s="52" t="inlineStr">
        <is>
          <t>[20min] 到期词 + 本周错词</t>
        </is>
      </c>
      <c r="H22" s="52" t="inlineStr">
        <is>
          <t>[35min] D02 听力错题二测</t>
        </is>
      </c>
      <c r="I22" s="52" t="inlineStr">
        <is>
          <t>[40min] D02 阅读错题二测 + 5 组同义替换</t>
        </is>
      </c>
      <c r="J22" s="52" t="inlineStr">
        <is>
          <t>[30min] 完整作文 1 篇，按 30 分钟完成</t>
        </is>
      </c>
      <c r="K22" s="52" t="inlineStr">
        <is>
          <t>[20min] 周复盘 + 旅行前任务封箱</t>
        </is>
      </c>
      <c r="L22" s="52" t="inlineStr">
        <is>
          <t>D02；每周复盘</t>
        </is>
      </c>
      <c r="M22" s="52" t="inlineStr">
        <is>
          <t>本周结清，不把任务带入旅行</t>
        </is>
      </c>
      <c r="N22" s="50" t="inlineStr">
        <is>
          <t>未开始</t>
        </is>
      </c>
      <c r="O22" s="50" t="n"/>
      <c r="P22" s="50" t="n"/>
      <c r="Q22" s="52" t="n"/>
    </row>
    <row r="23" ht="72" customHeight="1">
      <c r="A23" s="25" t="n">
        <v>46293</v>
      </c>
      <c r="B23" s="26" t="n">
        <v>4</v>
      </c>
      <c r="C23" s="26" t="inlineStr">
        <is>
          <t>周一</t>
        </is>
      </c>
      <c r="D23" s="26" t="inlineStr">
        <is>
          <t>基础期</t>
        </is>
      </c>
      <c r="E23" s="27" t="inlineStr">
        <is>
          <t>工作日</t>
        </is>
      </c>
      <c r="F23" s="27" t="n">
        <v>105</v>
      </c>
      <c r="G23" s="28" t="inlineStr">
        <is>
          <t>[25min] 不背单词·六级词书：新词 40（周末 50）+ 到期复习；20–25 分钟到点即停</t>
        </is>
      </c>
      <c r="H23" s="28" t="inlineStr">
        <is>
          <t>[40min] D03 长对话 1 组：限时作答→精听 2 轮→听写 6 个转折/问题句</t>
        </is>
      </c>
      <c r="I23" s="28" t="inlineStr">
        <is>
          <t>[30min] D03 仔细阅读 1 篇：10 分钟做题 + 20 分钟逐题定位证据</t>
        </is>
      </c>
      <c r="J23" s="28" t="inlineStr"/>
      <c r="K23" s="28" t="inlineStr">
        <is>
          <t>[10min] 错题写 1 条根因 + 1 条下次动作</t>
        </is>
      </c>
      <c r="L23" s="28" t="inlineStr">
        <is>
          <t>D03；不背单词；每日英语听力/随书音频</t>
        </is>
      </c>
      <c r="M23" s="28" t="inlineStr">
        <is>
          <t>能指出每道错题的原文证据；精听句可脱稿复述大意</t>
        </is>
      </c>
      <c r="N23" s="26" t="inlineStr">
        <is>
          <t>未开始</t>
        </is>
      </c>
      <c r="O23" s="26" t="n"/>
      <c r="P23" s="26" t="n"/>
      <c r="Q23" s="28" t="n"/>
    </row>
    <row r="24" ht="72" customHeight="1">
      <c r="A24" s="25" t="n">
        <v>46294</v>
      </c>
      <c r="B24" s="26" t="n">
        <v>4</v>
      </c>
      <c r="C24" s="26" t="inlineStr">
        <is>
          <t>周二</t>
        </is>
      </c>
      <c r="D24" s="26" t="inlineStr">
        <is>
          <t>基础期</t>
        </is>
      </c>
      <c r="E24" s="27" t="inlineStr">
        <is>
          <t>工作日</t>
        </is>
      </c>
      <c r="F24" s="27" t="n">
        <v>110</v>
      </c>
      <c r="G24" s="28" t="inlineStr">
        <is>
          <t>[25min] 不背单词·六级词书：新词 40（周末 50）+ 到期复习；20–25 分钟到点即停</t>
        </is>
      </c>
      <c r="H24" s="28" t="inlineStr">
        <is>
          <t>[30min] D03 篇章听力 1 组：先盲听作答，再逐句回放难句</t>
        </is>
      </c>
      <c r="I24" s="28" t="inlineStr">
        <is>
          <t>[35min] D03 长篇匹配：15 分钟限时 + 20 分钟整理同义替换</t>
        </is>
      </c>
      <c r="J24" s="28" t="inlineStr">
        <is>
          <t>[20min] 真题翻译 3–4 句：先独立写，再对照范文只改语法和搭配</t>
        </is>
      </c>
      <c r="K24" s="28" t="inlineStr"/>
      <c r="L24" s="28" t="inlineStr">
        <is>
          <t>D03；真题范文</t>
        </is>
      </c>
      <c r="M24" s="28" t="inlineStr">
        <is>
          <t>记录至少 5 组同义替换；翻译改出 3 处可复用表达</t>
        </is>
      </c>
      <c r="N24" s="26" t="inlineStr">
        <is>
          <t>未开始</t>
        </is>
      </c>
      <c r="O24" s="26" t="n"/>
      <c r="P24" s="26" t="n"/>
      <c r="Q24" s="28" t="n"/>
    </row>
    <row r="25" ht="72" customHeight="1">
      <c r="A25" s="45" t="n">
        <v>46295</v>
      </c>
      <c r="B25" s="46" t="n">
        <v>4</v>
      </c>
      <c r="C25" s="46" t="inlineStr">
        <is>
          <t>周三</t>
        </is>
      </c>
      <c r="D25" s="46" t="inlineStr">
        <is>
          <t>基础期</t>
        </is>
      </c>
      <c r="E25" s="47" t="inlineStr">
        <is>
          <t>旅行·仅词汇</t>
        </is>
      </c>
      <c r="F25" s="47" t="n">
        <v>20</v>
      </c>
      <c r="G25" s="48" t="inlineStr">
        <is>
          <t>[20min] 只做 App 到期词；不加新词，不补任何听读</t>
        </is>
      </c>
      <c r="H25" s="48" t="inlineStr"/>
      <c r="I25" s="48" t="inlineStr"/>
      <c r="J25" s="48" t="inlineStr"/>
      <c r="K25" s="48" t="inlineStr"/>
      <c r="L25" s="48" t="inlineStr">
        <is>
          <t>不背单词</t>
        </is>
      </c>
      <c r="M25" s="48" t="inlineStr">
        <is>
          <t>20 分钟到点停止</t>
        </is>
      </c>
      <c r="N25" s="46" t="inlineStr">
        <is>
          <t>未开始</t>
        </is>
      </c>
      <c r="O25" s="46" t="n"/>
      <c r="P25" s="46" t="n"/>
      <c r="Q25" s="48" t="n"/>
    </row>
    <row r="26" ht="72" customHeight="1">
      <c r="A26" s="45" t="n">
        <v>46296</v>
      </c>
      <c r="B26" s="46" t="n">
        <v>4</v>
      </c>
      <c r="C26" s="46" t="inlineStr">
        <is>
          <t>周四</t>
        </is>
      </c>
      <c r="D26" s="46" t="inlineStr">
        <is>
          <t>基础期</t>
        </is>
      </c>
      <c r="E26" s="47" t="inlineStr">
        <is>
          <t>旅行·仅词汇</t>
        </is>
      </c>
      <c r="F26" s="47" t="n">
        <v>15</v>
      </c>
      <c r="G26" s="48" t="inlineStr">
        <is>
          <t>[15min] 只复习 App 到期词；若行程紧可直接跳过且不补</t>
        </is>
      </c>
      <c r="H26" s="48" t="inlineStr"/>
      <c r="I26" s="48" t="inlineStr"/>
      <c r="J26" s="48" t="inlineStr"/>
      <c r="K26" s="48" t="inlineStr"/>
      <c r="L26" s="48" t="inlineStr">
        <is>
          <t>不背单词</t>
        </is>
      </c>
      <c r="M26" s="48" t="inlineStr">
        <is>
          <t>最多 15 分钟；不形成欠账</t>
        </is>
      </c>
      <c r="N26" s="46" t="inlineStr">
        <is>
          <t>未开始</t>
        </is>
      </c>
      <c r="O26" s="46" t="n"/>
      <c r="P26" s="46" t="n"/>
      <c r="Q26" s="48" t="n"/>
    </row>
    <row r="27" ht="48" customHeight="1">
      <c r="A27" s="53" t="n">
        <v>46297</v>
      </c>
      <c r="B27" s="54" t="n">
        <v>4</v>
      </c>
      <c r="C27" s="54" t="inlineStr">
        <is>
          <t>周五</t>
        </is>
      </c>
      <c r="D27" s="54" t="inlineStr">
        <is>
          <t>基础期</t>
        </is>
      </c>
      <c r="E27" s="55" t="inlineStr">
        <is>
          <t>旅行·完全留空</t>
        </is>
      </c>
      <c r="F27" s="55" t="n">
        <v>0</v>
      </c>
      <c r="G27" s="56" t="inlineStr"/>
      <c r="H27" s="56" t="inlineStr"/>
      <c r="I27" s="56" t="inlineStr"/>
      <c r="J27" s="56" t="inlineStr"/>
      <c r="K27" s="56" t="inlineStr"/>
      <c r="L27" s="56" t="inlineStr">
        <is>
          <t>无</t>
        </is>
      </c>
      <c r="M27" s="56" t="inlineStr">
        <is>
          <t>无需学习，也无需补做；返回后从 10/6 直接继续</t>
        </is>
      </c>
      <c r="N27" s="54" t="inlineStr">
        <is>
          <t>计划休息</t>
        </is>
      </c>
      <c r="O27" s="54" t="n"/>
      <c r="P27" s="54" t="n"/>
      <c r="Q27" s="56" t="n"/>
    </row>
    <row r="28" ht="48" customHeight="1">
      <c r="A28" s="53" t="n">
        <v>46298</v>
      </c>
      <c r="B28" s="54" t="n">
        <v>4</v>
      </c>
      <c r="C28" s="54" t="inlineStr">
        <is>
          <t>周六</t>
        </is>
      </c>
      <c r="D28" s="54" t="inlineStr">
        <is>
          <t>基础期</t>
        </is>
      </c>
      <c r="E28" s="55" t="inlineStr">
        <is>
          <t>旅行·完全留空</t>
        </is>
      </c>
      <c r="F28" s="55" t="n">
        <v>0</v>
      </c>
      <c r="G28" s="56" t="inlineStr"/>
      <c r="H28" s="56" t="inlineStr"/>
      <c r="I28" s="56" t="inlineStr"/>
      <c r="J28" s="56" t="inlineStr"/>
      <c r="K28" s="56" t="inlineStr"/>
      <c r="L28" s="56" t="inlineStr">
        <is>
          <t>无</t>
        </is>
      </c>
      <c r="M28" s="56" t="inlineStr">
        <is>
          <t>无需学习，也无需补做；返回后从 10/6 直接继续</t>
        </is>
      </c>
      <c r="N28" s="54" t="inlineStr">
        <is>
          <t>计划休息</t>
        </is>
      </c>
      <c r="O28" s="54" t="n"/>
      <c r="P28" s="54" t="n"/>
      <c r="Q28" s="56" t="n"/>
    </row>
    <row r="29" ht="48" customHeight="1">
      <c r="A29" s="53" t="n">
        <v>46299</v>
      </c>
      <c r="B29" s="54" t="n">
        <v>4</v>
      </c>
      <c r="C29" s="54" t="inlineStr">
        <is>
          <t>周日</t>
        </is>
      </c>
      <c r="D29" s="54" t="inlineStr">
        <is>
          <t>基础期</t>
        </is>
      </c>
      <c r="E29" s="55" t="inlineStr">
        <is>
          <t>旅行·完全留空</t>
        </is>
      </c>
      <c r="F29" s="55" t="n">
        <v>0</v>
      </c>
      <c r="G29" s="56" t="inlineStr"/>
      <c r="H29" s="56" t="inlineStr"/>
      <c r="I29" s="56" t="inlineStr"/>
      <c r="J29" s="56" t="inlineStr"/>
      <c r="K29" s="56" t="inlineStr"/>
      <c r="L29" s="56" t="inlineStr">
        <is>
          <t>无</t>
        </is>
      </c>
      <c r="M29" s="56" t="inlineStr">
        <is>
          <t>无需学习，也无需补做；返回后从 10/6 直接继续</t>
        </is>
      </c>
      <c r="N29" s="54" t="inlineStr">
        <is>
          <t>计划休息</t>
        </is>
      </c>
      <c r="O29" s="54" t="n"/>
      <c r="P29" s="54" t="n"/>
      <c r="Q29" s="56" t="n"/>
    </row>
    <row r="30" ht="48" customHeight="1">
      <c r="A30" s="53" t="n">
        <v>46300</v>
      </c>
      <c r="B30" s="54" t="n">
        <v>5</v>
      </c>
      <c r="C30" s="54" t="inlineStr">
        <is>
          <t>周一</t>
        </is>
      </c>
      <c r="D30" s="54" t="inlineStr">
        <is>
          <t>基础期</t>
        </is>
      </c>
      <c r="E30" s="55" t="inlineStr">
        <is>
          <t>旅行·完全留空</t>
        </is>
      </c>
      <c r="F30" s="55" t="n">
        <v>0</v>
      </c>
      <c r="G30" s="56" t="inlineStr"/>
      <c r="H30" s="56" t="inlineStr"/>
      <c r="I30" s="56" t="inlineStr"/>
      <c r="J30" s="56" t="inlineStr"/>
      <c r="K30" s="56" t="inlineStr"/>
      <c r="L30" s="56" t="inlineStr">
        <is>
          <t>无</t>
        </is>
      </c>
      <c r="M30" s="56" t="inlineStr">
        <is>
          <t>无需学习，也无需补做；返回后从 10/6 直接继续</t>
        </is>
      </c>
      <c r="N30" s="54" t="inlineStr">
        <is>
          <t>计划休息</t>
        </is>
      </c>
      <c r="O30" s="54" t="n"/>
      <c r="P30" s="54" t="n"/>
      <c r="Q30" s="56" t="n"/>
    </row>
    <row r="31" ht="72" customHeight="1">
      <c r="A31" s="57" t="n">
        <v>46301</v>
      </c>
      <c r="B31" s="58" t="n">
        <v>5</v>
      </c>
      <c r="C31" s="58" t="inlineStr">
        <is>
          <t>周二</t>
        </is>
      </c>
      <c r="D31" s="58" t="inlineStr">
        <is>
          <t>基础期</t>
        </is>
      </c>
      <c r="E31" s="59" t="inlineStr">
        <is>
          <t>旅行后恢复</t>
        </is>
      </c>
      <c r="F31" s="59" t="n">
        <v>80</v>
      </c>
      <c r="G31" s="60" t="inlineStr">
        <is>
          <t>[20min] 到期词复习；只加 20 个新词</t>
        </is>
      </c>
      <c r="H31" s="60" t="inlineStr">
        <is>
          <t>[30min] D03 选 1 组长对话：限时 + 只精听 4 个难句</t>
        </is>
      </c>
      <c r="I31" s="60" t="inlineStr">
        <is>
          <t>[25min] D03 仔细阅读 1 篇：12 分钟做题 + 13 分钟定位</t>
        </is>
      </c>
      <c r="J31" s="60" t="inlineStr"/>
      <c r="K31" s="60" t="inlineStr">
        <is>
          <t>[5min] 写下旅行后第一阻力，不补旧任务</t>
        </is>
      </c>
      <c r="L31" s="60" t="inlineStr">
        <is>
          <t>D03；不背单词</t>
        </is>
      </c>
      <c r="M31" s="60" t="inlineStr">
        <is>
          <t>完成 80 分钟即恢复成功；不追赶</t>
        </is>
      </c>
      <c r="N31" s="58" t="inlineStr">
        <is>
          <t>未开始</t>
        </is>
      </c>
      <c r="O31" s="58" t="n"/>
      <c r="P31" s="58" t="n"/>
      <c r="Q31" s="60" t="n"/>
    </row>
    <row r="32" ht="72" customHeight="1">
      <c r="A32" s="57" t="n">
        <v>46302</v>
      </c>
      <c r="B32" s="58" t="n">
        <v>5</v>
      </c>
      <c r="C32" s="58" t="inlineStr">
        <is>
          <t>周三</t>
        </is>
      </c>
      <c r="D32" s="58" t="inlineStr">
        <is>
          <t>基础期</t>
        </is>
      </c>
      <c r="E32" s="59" t="inlineStr">
        <is>
          <t>旅行后恢复</t>
        </is>
      </c>
      <c r="F32" s="59" t="n">
        <v>100</v>
      </c>
      <c r="G32" s="60" t="inlineStr">
        <is>
          <t>[20min] 新词 25 + 到期复习</t>
        </is>
      </c>
      <c r="H32" s="60" t="inlineStr">
        <is>
          <t>[35min] D03 篇章听力 1 组：限时 + 6 句跟读</t>
        </is>
      </c>
      <c r="I32" s="60" t="inlineStr">
        <is>
          <t>[30min] D03 长篇匹配 1 篇：15 分钟作答 + 15 分钟同义替换</t>
        </is>
      </c>
      <c r="J32" s="60" t="inlineStr">
        <is>
          <t>[10min] 作文列 3 段提纲</t>
        </is>
      </c>
      <c r="K32" s="60" t="inlineStr">
        <is>
          <t>[5min] 确认 10/8 恢复正常</t>
        </is>
      </c>
      <c r="L32" s="60" t="inlineStr">
        <is>
          <t>D03；随书音频</t>
        </is>
      </c>
      <c r="M32" s="60" t="inlineStr">
        <is>
          <t>听读各完成一项；不超过 100 分钟</t>
        </is>
      </c>
      <c r="N32" s="58" t="inlineStr">
        <is>
          <t>未开始</t>
        </is>
      </c>
      <c r="O32" s="58" t="n"/>
      <c r="P32" s="58" t="n"/>
      <c r="Q32" s="60" t="n"/>
    </row>
    <row r="33" ht="72" customHeight="1">
      <c r="A33" s="25" t="n">
        <v>46303</v>
      </c>
      <c r="B33" s="26" t="n">
        <v>5</v>
      </c>
      <c r="C33" s="26" t="inlineStr">
        <is>
          <t>周四</t>
        </is>
      </c>
      <c r="D33" s="26" t="inlineStr">
        <is>
          <t>基础期</t>
        </is>
      </c>
      <c r="E33" s="27" t="inlineStr">
        <is>
          <t>工作日</t>
        </is>
      </c>
      <c r="F33" s="27" t="n">
        <v>115</v>
      </c>
      <c r="G33" s="28" t="inlineStr">
        <is>
          <t>[25min] 不背单词·六级词书：新词 40（周末 50）+ 到期复习；20–25 分钟到点即停</t>
        </is>
      </c>
      <c r="H33" s="28" t="inlineStr">
        <is>
          <t>[35min] D03 讲座/讲话第 2 组：限时 + 错句精听 + 隔句跟读</t>
        </is>
      </c>
      <c r="I33" s="28" t="inlineStr">
        <is>
          <t>[40min] D03 仔细阅读第 2 篇：12 分钟做题 + 28 分钟错项排除</t>
        </is>
      </c>
      <c r="J33" s="28" t="inlineStr">
        <is>
          <t>[15min] 翻译：复写本周 5 个高频句型，换主题词各造 1 句</t>
        </is>
      </c>
      <c r="K33" s="28" t="inlineStr"/>
      <c r="L33" s="28" t="inlineStr">
        <is>
          <t>D03；错题记录</t>
        </is>
      </c>
      <c r="M33" s="28" t="inlineStr">
        <is>
          <t>讲座错题二次作答全对；阅读能解释 4 个干扰项为何错</t>
        </is>
      </c>
      <c r="N33" s="26" t="inlineStr">
        <is>
          <t>未开始</t>
        </is>
      </c>
      <c r="O33" s="26" t="n"/>
      <c r="P33" s="26" t="n"/>
      <c r="Q33" s="28" t="n"/>
    </row>
    <row r="34" ht="72" customHeight="1">
      <c r="A34" s="25" t="n">
        <v>46304</v>
      </c>
      <c r="B34" s="26" t="n">
        <v>5</v>
      </c>
      <c r="C34" s="26" t="inlineStr">
        <is>
          <t>周五</t>
        </is>
      </c>
      <c r="D34" s="26" t="inlineStr">
        <is>
          <t>基础期</t>
        </is>
      </c>
      <c r="E34" s="27" t="inlineStr">
        <is>
          <t>工作日</t>
        </is>
      </c>
      <c r="F34" s="27" t="n">
        <v>100</v>
      </c>
      <c r="G34" s="28" t="inlineStr">
        <is>
          <t>[20min] 本周词汇到期复习，不加量</t>
        </is>
      </c>
      <c r="H34" s="28" t="inlineStr">
        <is>
          <t>[25min] 本周精听句盲听复测：不看文本写关键词，错句回放 1 次</t>
        </is>
      </c>
      <c r="I34" s="28" t="inlineStr">
        <is>
          <t>[30min] D03 选词填空 1 篇：12 分钟限时；只总结词性和固定搭配</t>
        </is>
      </c>
      <c r="J34" s="28" t="inlineStr">
        <is>
          <t>[20min] 写作：把周三提纲扩写为开头 + 结尾，各 3–4 句</t>
        </is>
      </c>
      <c r="K34" s="28" t="inlineStr">
        <is>
          <t>[5min] 标记周末优先复习的 3 个错误</t>
        </is>
      </c>
      <c r="L34" s="28" t="inlineStr">
        <is>
          <t>D03；本周错题</t>
        </is>
      </c>
      <c r="M34" s="28" t="inlineStr">
        <is>
          <t>精听复测正确率≥80%；形成 1 个可复用开头和结尾</t>
        </is>
      </c>
      <c r="N34" s="26" t="inlineStr">
        <is>
          <t>未开始</t>
        </is>
      </c>
      <c r="O34" s="26" t="n"/>
      <c r="P34" s="26" t="n"/>
      <c r="Q34" s="28" t="n"/>
    </row>
    <row r="35" ht="72" customHeight="1">
      <c r="A35" s="41" t="n">
        <v>46305</v>
      </c>
      <c r="B35" s="42" t="n">
        <v>5</v>
      </c>
      <c r="C35" s="42" t="inlineStr">
        <is>
          <t>周六</t>
        </is>
      </c>
      <c r="D35" s="42" t="inlineStr">
        <is>
          <t>基础期</t>
        </is>
      </c>
      <c r="E35" s="43" t="inlineStr">
        <is>
          <t>调休上课日</t>
        </is>
      </c>
      <c r="F35" s="43" t="n">
        <v>105</v>
      </c>
      <c r="G35" s="44" t="inlineStr">
        <is>
          <t>[20min] 到期词 + 错词，不加量</t>
        </is>
      </c>
      <c r="H35" s="44" t="inlineStr">
        <is>
          <t>[35min] D03 听力整套后只精改错题所在段</t>
        </is>
      </c>
      <c r="I35" s="44" t="inlineStr">
        <is>
          <t>[30min] D03 仔细阅读 1 篇 + 证据定位</t>
        </is>
      </c>
      <c r="J35" s="44" t="inlineStr">
        <is>
          <t>[10min] 翻译错句 3 句</t>
        </is>
      </c>
      <c r="K35" s="44" t="inlineStr">
        <is>
          <t>[10min] 记录正确率</t>
        </is>
      </c>
      <c r="L35" s="44" t="inlineStr">
        <is>
          <t>D03；国务院调休安排</t>
        </is>
      </c>
      <c r="M35" s="44" t="inlineStr">
        <is>
          <t>按工作日完成；不因周六排 3 小时</t>
        </is>
      </c>
      <c r="N35" s="42" t="inlineStr">
        <is>
          <t>未开始</t>
        </is>
      </c>
      <c r="O35" s="42" t="n"/>
      <c r="P35" s="42" t="n"/>
      <c r="Q35" s="44" t="n"/>
    </row>
    <row r="36" ht="72" customHeight="1">
      <c r="A36" s="37" t="n">
        <v>46306</v>
      </c>
      <c r="B36" s="38" t="n">
        <v>5</v>
      </c>
      <c r="C36" s="38" t="inlineStr">
        <is>
          <t>周日</t>
        </is>
      </c>
      <c r="D36" s="38" t="inlineStr">
        <is>
          <t>基础期</t>
        </is>
      </c>
      <c r="E36" s="39" t="inlineStr">
        <is>
          <t>周末</t>
        </is>
      </c>
      <c r="F36" s="39" t="n">
        <v>170</v>
      </c>
      <c r="G36" s="40" t="inlineStr">
        <is>
          <t>[25min] 到期词复习 + 本周错词 30 个</t>
        </is>
      </c>
      <c r="H36" s="40" t="inlineStr">
        <is>
          <t>[40min] 本周听力错句二测：盲听→口头复述→对照文本</t>
        </is>
      </c>
      <c r="I36" s="40" t="inlineStr">
        <is>
          <t>[45min] 本周阅读错题二测 + 同题型新题 1 篇</t>
        </is>
      </c>
      <c r="J36" s="40" t="inlineStr">
        <is>
          <t>[40min] 写作/翻译交替：奇数周完整作文，偶数周完整翻译；用范文或 AI 只做批改</t>
        </is>
      </c>
      <c r="K36" s="40" t="inlineStr">
        <is>
          <t>[20min] 填写每周复盘：完成率、听/读正确率、下周只改 1 件事</t>
        </is>
      </c>
      <c r="L36" s="40" t="inlineStr">
        <is>
          <t>D03；每周复盘；AI/范文</t>
        </is>
      </c>
      <c r="M36" s="40" t="inlineStr">
        <is>
          <t>二测不看答案；完成周复盘并写出下周唯一优先项</t>
        </is>
      </c>
      <c r="N36" s="38" t="inlineStr">
        <is>
          <t>未开始</t>
        </is>
      </c>
      <c r="O36" s="38" t="n"/>
      <c r="P36" s="38" t="n"/>
      <c r="Q36" s="40" t="n"/>
    </row>
    <row r="37" ht="72" customHeight="1">
      <c r="A37" s="25" t="n">
        <v>46307</v>
      </c>
      <c r="B37" s="26" t="n">
        <v>6</v>
      </c>
      <c r="C37" s="26" t="inlineStr">
        <is>
          <t>周一</t>
        </is>
      </c>
      <c r="D37" s="26" t="inlineStr">
        <is>
          <t>强化期</t>
        </is>
      </c>
      <c r="E37" s="27" t="inlineStr">
        <is>
          <t>工作日</t>
        </is>
      </c>
      <c r="F37" s="27" t="n">
        <v>110</v>
      </c>
      <c r="G37" s="28" t="inlineStr">
        <is>
          <t>[20min] 新词 30–35 + 到期复习；把真题错词加入自定义词库</t>
        </is>
      </c>
      <c r="H37" s="28" t="inlineStr">
        <is>
          <t>[40min] D04 听力 25 题：30 分钟限时 + 10 分钟只标错因</t>
        </is>
      </c>
      <c r="I37" s="28" t="inlineStr">
        <is>
          <t>[35min] D04 仔细阅读 1 篇 + 长篇匹配半篇，严格计时</t>
        </is>
      </c>
      <c r="J37" s="28" t="inlineStr"/>
      <c r="K37" s="28" t="inlineStr">
        <is>
          <t>[15min] 挑 2 道最典型错题写证据链</t>
        </is>
      </c>
      <c r="L37" s="28" t="inlineStr">
        <is>
          <t>D04；计时器</t>
        </is>
      </c>
      <c r="M37" s="28" t="inlineStr">
        <is>
          <t>听力不停顿；阅读每题都有定位词；完成 2 条证据链</t>
        </is>
      </c>
      <c r="N37" s="26" t="inlineStr">
        <is>
          <t>未开始</t>
        </is>
      </c>
      <c r="O37" s="26" t="n"/>
      <c r="P37" s="26" t="n"/>
      <c r="Q37" s="28" t="n"/>
    </row>
    <row r="38" ht="72" customHeight="1">
      <c r="A38" s="25" t="n">
        <v>46308</v>
      </c>
      <c r="B38" s="26" t="n">
        <v>6</v>
      </c>
      <c r="C38" s="26" t="inlineStr">
        <is>
          <t>周二</t>
        </is>
      </c>
      <c r="D38" s="26" t="inlineStr">
        <is>
          <t>强化期</t>
        </is>
      </c>
      <c r="E38" s="27" t="inlineStr">
        <is>
          <t>工作日</t>
        </is>
      </c>
      <c r="F38" s="27" t="n">
        <v>115</v>
      </c>
      <c r="G38" s="28" t="inlineStr">
        <is>
          <t>[20min] 新词 30–35 + 到期复习；把真题错词加入自定义词库</t>
        </is>
      </c>
      <c r="H38" s="28" t="inlineStr">
        <is>
          <t>[35min] 昨日听力错题精听：只处理错题所在段，听写 8 个关键句</t>
        </is>
      </c>
      <c r="I38" s="28" t="inlineStr">
        <is>
          <t>[35min] D04 长篇匹配 1 篇：12–15 分钟 + 同义替换表</t>
        </is>
      </c>
      <c r="J38" s="28" t="inlineStr">
        <is>
          <t>[25min] 翻译 1 段：25 分钟完成；只检查时态、单复数、主谓一致</t>
        </is>
      </c>
      <c r="K38" s="28" t="inlineStr"/>
      <c r="L38" s="28" t="inlineStr">
        <is>
          <t>D04；错题记录</t>
        </is>
      </c>
      <c r="M38" s="28" t="inlineStr">
        <is>
          <t>8 个关键句至少 6 句听写正确；翻译无低级语法错</t>
        </is>
      </c>
      <c r="N38" s="26" t="inlineStr">
        <is>
          <t>未开始</t>
        </is>
      </c>
      <c r="O38" s="26" t="n"/>
      <c r="P38" s="26" t="n"/>
      <c r="Q38" s="28" t="n"/>
    </row>
    <row r="39" ht="72" customHeight="1">
      <c r="A39" s="25" t="n">
        <v>46309</v>
      </c>
      <c r="B39" s="26" t="n">
        <v>6</v>
      </c>
      <c r="C39" s="26" t="inlineStr">
        <is>
          <t>周三</t>
        </is>
      </c>
      <c r="D39" s="26" t="inlineStr">
        <is>
          <t>强化期</t>
        </is>
      </c>
      <c r="E39" s="27" t="inlineStr">
        <is>
          <t>工作日</t>
        </is>
      </c>
      <c r="F39" s="27" t="n">
        <v>120</v>
      </c>
      <c r="G39" s="28" t="inlineStr">
        <is>
          <t>[20min] 新词 30–35 + 到期复习；把真题错词加入自定义词库</t>
        </is>
      </c>
      <c r="H39" s="28" t="inlineStr">
        <is>
          <t>[40min] D04 讲座/讲话 1 组：记录路标词与层次，复述 60 秒</t>
        </is>
      </c>
      <c r="I39" s="28" t="inlineStr">
        <is>
          <t>[45min] D04 仔细阅读 2 篇：22 分钟作答 + 23 分钟订正</t>
        </is>
      </c>
      <c r="J39" s="28" t="inlineStr">
        <is>
          <t>[15min] 写作：15 分钟完成审题、立场、两条理由和例子</t>
        </is>
      </c>
      <c r="K39" s="28" t="inlineStr"/>
      <c r="L39" s="28" t="inlineStr">
        <is>
          <t>D04；录音机</t>
        </is>
      </c>
      <c r="M39" s="28" t="inlineStr">
        <is>
          <t>讲座题≥6/10（不足则记录错因）；两篇阅读总作答≤22 分钟</t>
        </is>
      </c>
      <c r="N39" s="26" t="inlineStr">
        <is>
          <t>未开始</t>
        </is>
      </c>
      <c r="O39" s="26" t="n"/>
      <c r="P39" s="26" t="n"/>
      <c r="Q39" s="28" t="n"/>
    </row>
    <row r="40" ht="72" customHeight="1">
      <c r="A40" s="25" t="n">
        <v>46310</v>
      </c>
      <c r="B40" s="26" t="n">
        <v>6</v>
      </c>
      <c r="C40" s="26" t="inlineStr">
        <is>
          <t>周四</t>
        </is>
      </c>
      <c r="D40" s="26" t="inlineStr">
        <is>
          <t>强化期</t>
        </is>
      </c>
      <c r="E40" s="27" t="inlineStr">
        <is>
          <t>工作日</t>
        </is>
      </c>
      <c r="F40" s="27" t="n">
        <v>120</v>
      </c>
      <c r="G40" s="28" t="inlineStr">
        <is>
          <t>[20min] 新词 30–35 + 到期复习；把真题错词加入自定义词库</t>
        </is>
      </c>
      <c r="H40" s="28" t="inlineStr">
        <is>
          <t>[25min] 隔日盲听复测：周一错题 + 周三讲座，仍错的进入红色清单</t>
        </is>
      </c>
      <c r="I40" s="28" t="inlineStr">
        <is>
          <t>[75min] D04 阅读 30 题：40 分钟整套 + 35 分钟精改仔细阅读</t>
        </is>
      </c>
      <c r="J40" s="28" t="inlineStr"/>
      <c r="K40" s="28" t="inlineStr"/>
      <c r="L40" s="28" t="inlineStr">
        <is>
          <t>D04；红色错题清单</t>
        </is>
      </c>
      <c r="M40" s="28" t="inlineStr">
        <is>
          <t>阅读全套≤40 分钟；仔细阅读正确≥6/10</t>
        </is>
      </c>
      <c r="N40" s="26" t="inlineStr">
        <is>
          <t>未开始</t>
        </is>
      </c>
      <c r="O40" s="26" t="n"/>
      <c r="P40" s="26" t="n"/>
      <c r="Q40" s="28" t="n"/>
    </row>
    <row r="41" ht="72" customHeight="1">
      <c r="A41" s="25" t="n">
        <v>46311</v>
      </c>
      <c r="B41" s="26" t="n">
        <v>6</v>
      </c>
      <c r="C41" s="26" t="inlineStr">
        <is>
          <t>周五</t>
        </is>
      </c>
      <c r="D41" s="26" t="inlineStr">
        <is>
          <t>强化期</t>
        </is>
      </c>
      <c r="E41" s="27" t="inlineStr">
        <is>
          <t>工作日</t>
        </is>
      </c>
      <c r="F41" s="27" t="n">
        <v>110</v>
      </c>
      <c r="G41" s="28" t="inlineStr">
        <is>
          <t>[20min] 本周错词复习，不开新词</t>
        </is>
      </c>
      <c r="H41" s="28" t="inlineStr">
        <is>
          <t>[25min] 红色听力错句跟读 + 变速 0.9×/1.0× 各 1 遍</t>
        </is>
      </c>
      <c r="I41" s="28" t="inlineStr">
        <is>
          <t>[30min] 本周阅读错题不看答案重做，写出错误选项陷阱</t>
        </is>
      </c>
      <c r="J41" s="28" t="inlineStr">
        <is>
          <t>[25min] 作文完整写 1 篇（30 分钟题，今天限 25 分钟）</t>
        </is>
      </c>
      <c r="K41" s="28" t="inlineStr">
        <is>
          <t>[10min] 周末训练清单与设备检查</t>
        </is>
      </c>
      <c r="L41" s="28" t="inlineStr">
        <is>
          <t>本周错题；真题作文</t>
        </is>
      </c>
      <c r="M41" s="28" t="inlineStr">
        <is>
          <t>错题二测≥80%；作文有明确立场、两条理由、结尾回扣</t>
        </is>
      </c>
      <c r="N41" s="26" t="inlineStr">
        <is>
          <t>未开始</t>
        </is>
      </c>
      <c r="O41" s="26" t="n"/>
      <c r="P41" s="26" t="n"/>
      <c r="Q41" s="28" t="n"/>
    </row>
    <row r="42" ht="72" customHeight="1">
      <c r="A42" s="37" t="n">
        <v>46312</v>
      </c>
      <c r="B42" s="38" t="n">
        <v>6</v>
      </c>
      <c r="C42" s="38" t="inlineStr">
        <is>
          <t>周六</t>
        </is>
      </c>
      <c r="D42" s="38" t="inlineStr">
        <is>
          <t>强化期</t>
        </is>
      </c>
      <c r="E42" s="39" t="inlineStr">
        <is>
          <t>周末</t>
        </is>
      </c>
      <c r="F42" s="39" t="n">
        <v>170</v>
      </c>
      <c r="G42" s="40" t="inlineStr">
        <is>
          <t>[20min] 新词 35 + 到期复习</t>
        </is>
      </c>
      <c r="H42" s="40" t="inlineStr">
        <is>
          <t>[70min] D04 听力整套 30 分钟 + 精改 40 分钟</t>
        </is>
      </c>
      <c r="I42" s="40" t="inlineStr">
        <is>
          <t>[55min] D04 阅读整套 40 分钟 + 重点题复盘 15 分钟</t>
        </is>
      </c>
      <c r="J42" s="40" t="inlineStr">
        <is>
          <t>[15min] 翻译错句 5 句改写</t>
        </is>
      </c>
      <c r="K42" s="40" t="inlineStr">
        <is>
          <t>[10min] 记录听力/阅读原始正确数</t>
        </is>
      </c>
      <c r="L42" s="40" t="inlineStr">
        <is>
          <t>D04；模考记录</t>
        </is>
      </c>
      <c r="M42" s="40" t="inlineStr">
        <is>
          <t>听力≥14/25、阅读≥18/30为阶段线；未达只修最大短板</t>
        </is>
      </c>
      <c r="N42" s="38" t="inlineStr">
        <is>
          <t>未开始</t>
        </is>
      </c>
      <c r="O42" s="38" t="n"/>
      <c r="P42" s="38" t="n"/>
      <c r="Q42" s="40" t="n"/>
    </row>
    <row r="43" ht="72" customHeight="1">
      <c r="A43" s="37" t="n">
        <v>46313</v>
      </c>
      <c r="B43" s="38" t="n">
        <v>6</v>
      </c>
      <c r="C43" s="38" t="inlineStr">
        <is>
          <t>周日</t>
        </is>
      </c>
      <c r="D43" s="38" t="inlineStr">
        <is>
          <t>强化期</t>
        </is>
      </c>
      <c r="E43" s="39" t="inlineStr">
        <is>
          <t>周末</t>
        </is>
      </c>
      <c r="F43" s="39" t="n">
        <v>170</v>
      </c>
      <c r="G43" s="40" t="inlineStr">
        <is>
          <t>[20min] 到期词 + 本周错词</t>
        </is>
      </c>
      <c r="H43" s="40" t="inlineStr">
        <is>
          <t>[45min] 听力错题二测：原音不降速，口头说明为何选该项</t>
        </is>
      </c>
      <c r="I43" s="40" t="inlineStr">
        <is>
          <t>[45min] 阅读错题二测：重新定位证据并整理 8 组同义替换</t>
        </is>
      </c>
      <c r="J43" s="40" t="inlineStr">
        <is>
          <t>[40min] 完整翻译或作文 1 篇；按真题范文/评分维度修改一次</t>
        </is>
      </c>
      <c r="K43" s="40" t="inlineStr">
        <is>
          <t>[20min] 填写每周复盘；选择下周 3 道必复测题</t>
        </is>
      </c>
      <c r="L43" s="40" t="inlineStr">
        <is>
          <t>D04；每周复盘</t>
        </is>
      </c>
      <c r="M43" s="40" t="inlineStr">
        <is>
          <t>原题二测≥85%；完成一篇修改稿，不抄整篇范文</t>
        </is>
      </c>
      <c r="N43" s="38" t="inlineStr">
        <is>
          <t>未开始</t>
        </is>
      </c>
      <c r="O43" s="38" t="n"/>
      <c r="P43" s="38" t="n"/>
      <c r="Q43" s="40" t="n"/>
    </row>
    <row r="44" ht="72" customHeight="1">
      <c r="A44" s="25" t="n">
        <v>46314</v>
      </c>
      <c r="B44" s="26" t="n">
        <v>7</v>
      </c>
      <c r="C44" s="26" t="inlineStr">
        <is>
          <t>周一</t>
        </is>
      </c>
      <c r="D44" s="26" t="inlineStr">
        <is>
          <t>强化期</t>
        </is>
      </c>
      <c r="E44" s="27" t="inlineStr">
        <is>
          <t>工作日</t>
        </is>
      </c>
      <c r="F44" s="27" t="n">
        <v>110</v>
      </c>
      <c r="G44" s="28" t="inlineStr">
        <is>
          <t>[20min] 新词 30–35 + 到期复习；把真题错词加入自定义词库</t>
        </is>
      </c>
      <c r="H44" s="28" t="inlineStr">
        <is>
          <t>[40min] D05 听力 25 题：30 分钟限时 + 10 分钟只标错因</t>
        </is>
      </c>
      <c r="I44" s="28" t="inlineStr">
        <is>
          <t>[35min] D05 仔细阅读 1 篇 + 长篇匹配半篇，严格计时</t>
        </is>
      </c>
      <c r="J44" s="28" t="inlineStr"/>
      <c r="K44" s="28" t="inlineStr">
        <is>
          <t>[15min] 挑 2 道最典型错题写证据链</t>
        </is>
      </c>
      <c r="L44" s="28" t="inlineStr">
        <is>
          <t>D05；计时器</t>
        </is>
      </c>
      <c r="M44" s="28" t="inlineStr">
        <is>
          <t>听力不停顿；阅读每题都有定位词；完成 2 条证据链</t>
        </is>
      </c>
      <c r="N44" s="26" t="inlineStr">
        <is>
          <t>未开始</t>
        </is>
      </c>
      <c r="O44" s="26" t="n"/>
      <c r="P44" s="26" t="n"/>
      <c r="Q44" s="28" t="n"/>
    </row>
    <row r="45" ht="72" customHeight="1">
      <c r="A45" s="25" t="n">
        <v>46315</v>
      </c>
      <c r="B45" s="26" t="n">
        <v>7</v>
      </c>
      <c r="C45" s="26" t="inlineStr">
        <is>
          <t>周二</t>
        </is>
      </c>
      <c r="D45" s="26" t="inlineStr">
        <is>
          <t>强化期</t>
        </is>
      </c>
      <c r="E45" s="27" t="inlineStr">
        <is>
          <t>工作日</t>
        </is>
      </c>
      <c r="F45" s="27" t="n">
        <v>115</v>
      </c>
      <c r="G45" s="28" t="inlineStr">
        <is>
          <t>[20min] 新词 30–35 + 到期复习；把真题错词加入自定义词库</t>
        </is>
      </c>
      <c r="H45" s="28" t="inlineStr">
        <is>
          <t>[35min] 昨日听力错题精听：只处理错题所在段，听写 8 个关键句</t>
        </is>
      </c>
      <c r="I45" s="28" t="inlineStr">
        <is>
          <t>[35min] D05 长篇匹配 1 篇：12–15 分钟 + 同义替换表</t>
        </is>
      </c>
      <c r="J45" s="28" t="inlineStr">
        <is>
          <t>[25min] 翻译 1 段：25 分钟完成；只检查时态、单复数、主谓一致</t>
        </is>
      </c>
      <c r="K45" s="28" t="inlineStr"/>
      <c r="L45" s="28" t="inlineStr">
        <is>
          <t>D05；错题记录</t>
        </is>
      </c>
      <c r="M45" s="28" t="inlineStr">
        <is>
          <t>8 个关键句至少 6 句听写正确；翻译无低级语法错</t>
        </is>
      </c>
      <c r="N45" s="26" t="inlineStr">
        <is>
          <t>未开始</t>
        </is>
      </c>
      <c r="O45" s="26" t="n"/>
      <c r="P45" s="26" t="n"/>
      <c r="Q45" s="28" t="n"/>
    </row>
    <row r="46" ht="72" customHeight="1">
      <c r="A46" s="25" t="n">
        <v>46316</v>
      </c>
      <c r="B46" s="26" t="n">
        <v>7</v>
      </c>
      <c r="C46" s="26" t="inlineStr">
        <is>
          <t>周三</t>
        </is>
      </c>
      <c r="D46" s="26" t="inlineStr">
        <is>
          <t>强化期</t>
        </is>
      </c>
      <c r="E46" s="27" t="inlineStr">
        <is>
          <t>工作日</t>
        </is>
      </c>
      <c r="F46" s="27" t="n">
        <v>120</v>
      </c>
      <c r="G46" s="28" t="inlineStr">
        <is>
          <t>[20min] 新词 30–35 + 到期复习；把真题错词加入自定义词库</t>
        </is>
      </c>
      <c r="H46" s="28" t="inlineStr">
        <is>
          <t>[40min] D05 讲座/讲话 1 组：记录路标词与层次，复述 60 秒</t>
        </is>
      </c>
      <c r="I46" s="28" t="inlineStr">
        <is>
          <t>[45min] D05 仔细阅读 2 篇：22 分钟作答 + 23 分钟订正</t>
        </is>
      </c>
      <c r="J46" s="28" t="inlineStr">
        <is>
          <t>[15min] 写作：15 分钟完成审题、立场、两条理由和例子</t>
        </is>
      </c>
      <c r="K46" s="28" t="inlineStr"/>
      <c r="L46" s="28" t="inlineStr">
        <is>
          <t>D05；录音机</t>
        </is>
      </c>
      <c r="M46" s="28" t="inlineStr">
        <is>
          <t>讲座题≥6/10（不足则记录错因）；两篇阅读总作答≤22 分钟</t>
        </is>
      </c>
      <c r="N46" s="26" t="inlineStr">
        <is>
          <t>未开始</t>
        </is>
      </c>
      <c r="O46" s="26" t="n"/>
      <c r="P46" s="26" t="n"/>
      <c r="Q46" s="28" t="n"/>
    </row>
    <row r="47" ht="72" customHeight="1">
      <c r="A47" s="25" t="n">
        <v>46317</v>
      </c>
      <c r="B47" s="26" t="n">
        <v>7</v>
      </c>
      <c r="C47" s="26" t="inlineStr">
        <is>
          <t>周四</t>
        </is>
      </c>
      <c r="D47" s="26" t="inlineStr">
        <is>
          <t>强化期</t>
        </is>
      </c>
      <c r="E47" s="27" t="inlineStr">
        <is>
          <t>工作日</t>
        </is>
      </c>
      <c r="F47" s="27" t="n">
        <v>120</v>
      </c>
      <c r="G47" s="28" t="inlineStr">
        <is>
          <t>[20min] 新词 30–35 + 到期复习；把真题错词加入自定义词库</t>
        </is>
      </c>
      <c r="H47" s="28" t="inlineStr">
        <is>
          <t>[25min] 隔日盲听复测：周一错题 + 周三讲座，仍错的进入红色清单</t>
        </is>
      </c>
      <c r="I47" s="28" t="inlineStr">
        <is>
          <t>[75min] D05 阅读 30 题：40 分钟整套 + 35 分钟精改仔细阅读</t>
        </is>
      </c>
      <c r="J47" s="28" t="inlineStr"/>
      <c r="K47" s="28" t="inlineStr"/>
      <c r="L47" s="28" t="inlineStr">
        <is>
          <t>D05；红色错题清单</t>
        </is>
      </c>
      <c r="M47" s="28" t="inlineStr">
        <is>
          <t>阅读全套≤40 分钟；仔细阅读正确≥6/10</t>
        </is>
      </c>
      <c r="N47" s="26" t="inlineStr">
        <is>
          <t>未开始</t>
        </is>
      </c>
      <c r="O47" s="26" t="n"/>
      <c r="P47" s="26" t="n"/>
      <c r="Q47" s="28" t="n"/>
    </row>
    <row r="48" ht="72" customHeight="1">
      <c r="A48" s="25" t="n">
        <v>46318</v>
      </c>
      <c r="B48" s="26" t="n">
        <v>7</v>
      </c>
      <c r="C48" s="26" t="inlineStr">
        <is>
          <t>周五</t>
        </is>
      </c>
      <c r="D48" s="26" t="inlineStr">
        <is>
          <t>强化期</t>
        </is>
      </c>
      <c r="E48" s="27" t="inlineStr">
        <is>
          <t>工作日</t>
        </is>
      </c>
      <c r="F48" s="27" t="n">
        <v>110</v>
      </c>
      <c r="G48" s="28" t="inlineStr">
        <is>
          <t>[20min] 本周错词复习，不开新词</t>
        </is>
      </c>
      <c r="H48" s="28" t="inlineStr">
        <is>
          <t>[25min] 红色听力错句跟读 + 变速 0.9×/1.0× 各 1 遍</t>
        </is>
      </c>
      <c r="I48" s="28" t="inlineStr">
        <is>
          <t>[30min] 本周阅读错题不看答案重做，写出错误选项陷阱</t>
        </is>
      </c>
      <c r="J48" s="28" t="inlineStr">
        <is>
          <t>[25min] 作文完整写 1 篇（30 分钟题，今天限 25 分钟）</t>
        </is>
      </c>
      <c r="K48" s="28" t="inlineStr">
        <is>
          <t>[10min] 周末训练清单与设备检查</t>
        </is>
      </c>
      <c r="L48" s="28" t="inlineStr">
        <is>
          <t>本周错题；真题作文</t>
        </is>
      </c>
      <c r="M48" s="28" t="inlineStr">
        <is>
          <t>错题二测≥80%；作文有明确立场、两条理由、结尾回扣</t>
        </is>
      </c>
      <c r="N48" s="26" t="inlineStr">
        <is>
          <t>未开始</t>
        </is>
      </c>
      <c r="O48" s="26" t="n"/>
      <c r="P48" s="26" t="n"/>
      <c r="Q48" s="28" t="n"/>
    </row>
    <row r="49" ht="72" customHeight="1">
      <c r="A49" s="37" t="n">
        <v>46319</v>
      </c>
      <c r="B49" s="38" t="n">
        <v>7</v>
      </c>
      <c r="C49" s="38" t="inlineStr">
        <is>
          <t>周六</t>
        </is>
      </c>
      <c r="D49" s="38" t="inlineStr">
        <is>
          <t>强化期</t>
        </is>
      </c>
      <c r="E49" s="39" t="inlineStr">
        <is>
          <t>周末</t>
        </is>
      </c>
      <c r="F49" s="39" t="n">
        <v>170</v>
      </c>
      <c r="G49" s="40" t="inlineStr">
        <is>
          <t>[20min] 新词 35 + 到期复习</t>
        </is>
      </c>
      <c r="H49" s="40" t="inlineStr">
        <is>
          <t>[70min] D05 听力整套 30 分钟 + 精改 40 分钟</t>
        </is>
      </c>
      <c r="I49" s="40" t="inlineStr">
        <is>
          <t>[55min] D05 阅读整套 40 分钟 + 重点题复盘 15 分钟</t>
        </is>
      </c>
      <c r="J49" s="40" t="inlineStr">
        <is>
          <t>[15min] 翻译错句 5 句改写</t>
        </is>
      </c>
      <c r="K49" s="40" t="inlineStr">
        <is>
          <t>[10min] 记录听力/阅读原始正确数</t>
        </is>
      </c>
      <c r="L49" s="40" t="inlineStr">
        <is>
          <t>D05；模考记录</t>
        </is>
      </c>
      <c r="M49" s="40" t="inlineStr">
        <is>
          <t>听力≥15/25、阅读≥19/30为阶段线；未达只修最大短板</t>
        </is>
      </c>
      <c r="N49" s="38" t="inlineStr">
        <is>
          <t>未开始</t>
        </is>
      </c>
      <c r="O49" s="38" t="n"/>
      <c r="P49" s="38" t="n"/>
      <c r="Q49" s="40" t="n"/>
    </row>
    <row r="50" ht="72" customHeight="1">
      <c r="A50" s="37" t="n">
        <v>46320</v>
      </c>
      <c r="B50" s="38" t="n">
        <v>7</v>
      </c>
      <c r="C50" s="38" t="inlineStr">
        <is>
          <t>周日</t>
        </is>
      </c>
      <c r="D50" s="38" t="inlineStr">
        <is>
          <t>强化期</t>
        </is>
      </c>
      <c r="E50" s="39" t="inlineStr">
        <is>
          <t>周末</t>
        </is>
      </c>
      <c r="F50" s="39" t="n">
        <v>170</v>
      </c>
      <c r="G50" s="40" t="inlineStr">
        <is>
          <t>[20min] 到期词 + 本周错词</t>
        </is>
      </c>
      <c r="H50" s="40" t="inlineStr">
        <is>
          <t>[45min] 听力错题二测：原音不降速，口头说明为何选该项</t>
        </is>
      </c>
      <c r="I50" s="40" t="inlineStr">
        <is>
          <t>[45min] 阅读错题二测：重新定位证据并整理 8 组同义替换</t>
        </is>
      </c>
      <c r="J50" s="40" t="inlineStr">
        <is>
          <t>[40min] 完整翻译或作文 1 篇；按真题范文/评分维度修改一次</t>
        </is>
      </c>
      <c r="K50" s="40" t="inlineStr">
        <is>
          <t>[20min] 填写每周复盘；选择下周 3 道必复测题</t>
        </is>
      </c>
      <c r="L50" s="40" t="inlineStr">
        <is>
          <t>D05；每周复盘</t>
        </is>
      </c>
      <c r="M50" s="40" t="inlineStr">
        <is>
          <t>原题二测≥85%；完成一篇修改稿，不抄整篇范文</t>
        </is>
      </c>
      <c r="N50" s="38" t="inlineStr">
        <is>
          <t>未开始</t>
        </is>
      </c>
      <c r="O50" s="38" t="n"/>
      <c r="P50" s="38" t="n"/>
      <c r="Q50" s="40" t="n"/>
    </row>
    <row r="51" ht="72" customHeight="1">
      <c r="A51" s="25" t="n">
        <v>46321</v>
      </c>
      <c r="B51" s="26" t="n">
        <v>8</v>
      </c>
      <c r="C51" s="26" t="inlineStr">
        <is>
          <t>周一</t>
        </is>
      </c>
      <c r="D51" s="26" t="inlineStr">
        <is>
          <t>强化期</t>
        </is>
      </c>
      <c r="E51" s="27" t="inlineStr">
        <is>
          <t>工作日</t>
        </is>
      </c>
      <c r="F51" s="27" t="n">
        <v>110</v>
      </c>
      <c r="G51" s="28" t="inlineStr">
        <is>
          <t>[20min] 新词 30–35 + 到期复习；把真题错词加入自定义词库</t>
        </is>
      </c>
      <c r="H51" s="28" t="inlineStr">
        <is>
          <t>[40min] M01 听力 25 题：30 分钟限时 + 10 分钟只标错因</t>
        </is>
      </c>
      <c r="I51" s="28" t="inlineStr">
        <is>
          <t>[35min] M01 仔细阅读 1 篇 + 长篇匹配半篇，严格计时</t>
        </is>
      </c>
      <c r="J51" s="28" t="inlineStr"/>
      <c r="K51" s="28" t="inlineStr">
        <is>
          <t>[15min] 挑 2 道最典型错题写证据链</t>
        </is>
      </c>
      <c r="L51" s="28" t="inlineStr">
        <is>
          <t>M01；计时器</t>
        </is>
      </c>
      <c r="M51" s="28" t="inlineStr">
        <is>
          <t>听力不停顿；阅读每题都有定位词；完成 2 条证据链</t>
        </is>
      </c>
      <c r="N51" s="26" t="inlineStr">
        <is>
          <t>未开始</t>
        </is>
      </c>
      <c r="O51" s="26" t="n"/>
      <c r="P51" s="26" t="n"/>
      <c r="Q51" s="28" t="n"/>
    </row>
    <row r="52" ht="72" customHeight="1">
      <c r="A52" s="25" t="n">
        <v>46322</v>
      </c>
      <c r="B52" s="26" t="n">
        <v>8</v>
      </c>
      <c r="C52" s="26" t="inlineStr">
        <is>
          <t>周二</t>
        </is>
      </c>
      <c r="D52" s="26" t="inlineStr">
        <is>
          <t>强化期</t>
        </is>
      </c>
      <c r="E52" s="27" t="inlineStr">
        <is>
          <t>工作日</t>
        </is>
      </c>
      <c r="F52" s="27" t="n">
        <v>115</v>
      </c>
      <c r="G52" s="28" t="inlineStr">
        <is>
          <t>[20min] 新词 30–35 + 到期复习；把真题错词加入自定义词库</t>
        </is>
      </c>
      <c r="H52" s="28" t="inlineStr">
        <is>
          <t>[35min] 昨日听力错题精听：只处理错题所在段，听写 8 个关键句</t>
        </is>
      </c>
      <c r="I52" s="28" t="inlineStr">
        <is>
          <t>[35min] M01 长篇匹配 1 篇：12–15 分钟 + 同义替换表</t>
        </is>
      </c>
      <c r="J52" s="28" t="inlineStr">
        <is>
          <t>[25min] 翻译 1 段：25 分钟完成；只检查时态、单复数、主谓一致</t>
        </is>
      </c>
      <c r="K52" s="28" t="inlineStr"/>
      <c r="L52" s="28" t="inlineStr">
        <is>
          <t>M01；错题记录</t>
        </is>
      </c>
      <c r="M52" s="28" t="inlineStr">
        <is>
          <t>8 个关键句至少 6 句听写正确；翻译无低级语法错</t>
        </is>
      </c>
      <c r="N52" s="26" t="inlineStr">
        <is>
          <t>未开始</t>
        </is>
      </c>
      <c r="O52" s="26" t="n"/>
      <c r="P52" s="26" t="n"/>
      <c r="Q52" s="28" t="n"/>
    </row>
    <row r="53" ht="72" customHeight="1">
      <c r="A53" s="25" t="n">
        <v>46323</v>
      </c>
      <c r="B53" s="26" t="n">
        <v>8</v>
      </c>
      <c r="C53" s="26" t="inlineStr">
        <is>
          <t>周三</t>
        </is>
      </c>
      <c r="D53" s="26" t="inlineStr">
        <is>
          <t>强化期</t>
        </is>
      </c>
      <c r="E53" s="27" t="inlineStr">
        <is>
          <t>工作日</t>
        </is>
      </c>
      <c r="F53" s="27" t="n">
        <v>120</v>
      </c>
      <c r="G53" s="28" t="inlineStr">
        <is>
          <t>[20min] 新词 30–35 + 到期复习；把真题错词加入自定义词库</t>
        </is>
      </c>
      <c r="H53" s="28" t="inlineStr">
        <is>
          <t>[40min] M01 讲座/讲话 1 组：记录路标词与层次，复述 60 秒</t>
        </is>
      </c>
      <c r="I53" s="28" t="inlineStr">
        <is>
          <t>[45min] M01 仔细阅读 2 篇：22 分钟作答 + 23 分钟订正</t>
        </is>
      </c>
      <c r="J53" s="28" t="inlineStr">
        <is>
          <t>[15min] 写作：15 分钟完成审题、立场、两条理由和例子</t>
        </is>
      </c>
      <c r="K53" s="28" t="inlineStr"/>
      <c r="L53" s="28" t="inlineStr">
        <is>
          <t>M01；录音机</t>
        </is>
      </c>
      <c r="M53" s="28" t="inlineStr">
        <is>
          <t>讲座题≥6/10（不足则记录错因）；两篇阅读总作答≤22 分钟</t>
        </is>
      </c>
      <c r="N53" s="26" t="inlineStr">
        <is>
          <t>未开始</t>
        </is>
      </c>
      <c r="O53" s="26" t="n"/>
      <c r="P53" s="26" t="n"/>
      <c r="Q53" s="28" t="n"/>
    </row>
    <row r="54" ht="72" customHeight="1">
      <c r="A54" s="25" t="n">
        <v>46324</v>
      </c>
      <c r="B54" s="26" t="n">
        <v>8</v>
      </c>
      <c r="C54" s="26" t="inlineStr">
        <is>
          <t>周四</t>
        </is>
      </c>
      <c r="D54" s="26" t="inlineStr">
        <is>
          <t>强化期</t>
        </is>
      </c>
      <c r="E54" s="27" t="inlineStr">
        <is>
          <t>工作日</t>
        </is>
      </c>
      <c r="F54" s="27" t="n">
        <v>120</v>
      </c>
      <c r="G54" s="28" t="inlineStr">
        <is>
          <t>[20min] 新词 30–35 + 到期复习；把真题错词加入自定义词库</t>
        </is>
      </c>
      <c r="H54" s="28" t="inlineStr">
        <is>
          <t>[25min] 隔日盲听复测：周一错题 + 周三讲座，仍错的进入红色清单</t>
        </is>
      </c>
      <c r="I54" s="28" t="inlineStr">
        <is>
          <t>[75min] M01 阅读 30 题：40 分钟整套 + 35 分钟精改仔细阅读</t>
        </is>
      </c>
      <c r="J54" s="28" t="inlineStr"/>
      <c r="K54" s="28" t="inlineStr"/>
      <c r="L54" s="28" t="inlineStr">
        <is>
          <t>M01；红色错题清单</t>
        </is>
      </c>
      <c r="M54" s="28" t="inlineStr">
        <is>
          <t>阅读全套≤40 分钟；仔细阅读正确≥6/10</t>
        </is>
      </c>
      <c r="N54" s="26" t="inlineStr">
        <is>
          <t>未开始</t>
        </is>
      </c>
      <c r="O54" s="26" t="n"/>
      <c r="P54" s="26" t="n"/>
      <c r="Q54" s="28" t="n"/>
    </row>
    <row r="55" ht="72" customHeight="1">
      <c r="A55" s="25" t="n">
        <v>46325</v>
      </c>
      <c r="B55" s="26" t="n">
        <v>8</v>
      </c>
      <c r="C55" s="26" t="inlineStr">
        <is>
          <t>周五</t>
        </is>
      </c>
      <c r="D55" s="26" t="inlineStr">
        <is>
          <t>强化期</t>
        </is>
      </c>
      <c r="E55" s="27" t="inlineStr">
        <is>
          <t>工作日</t>
        </is>
      </c>
      <c r="F55" s="27" t="n">
        <v>110</v>
      </c>
      <c r="G55" s="28" t="inlineStr">
        <is>
          <t>[20min] 本周错词复习，不开新词</t>
        </is>
      </c>
      <c r="H55" s="28" t="inlineStr">
        <is>
          <t>[25min] 红色听力错句跟读 + 变速 0.9×/1.0× 各 1 遍</t>
        </is>
      </c>
      <c r="I55" s="28" t="inlineStr">
        <is>
          <t>[30min] 本周阅读错题不看答案重做，写出错误选项陷阱</t>
        </is>
      </c>
      <c r="J55" s="28" t="inlineStr">
        <is>
          <t>[25min] 作文完整写 1 篇（30 分钟题，今天限 25 分钟）</t>
        </is>
      </c>
      <c r="K55" s="28" t="inlineStr">
        <is>
          <t>[10min] 周末训练清单与设备检查</t>
        </is>
      </c>
      <c r="L55" s="28" t="inlineStr">
        <is>
          <t>本周错题；真题作文</t>
        </is>
      </c>
      <c r="M55" s="28" t="inlineStr">
        <is>
          <t>错题二测≥80%；作文有明确立场、两条理由、结尾回扣</t>
        </is>
      </c>
      <c r="N55" s="26" t="inlineStr">
        <is>
          <t>未开始</t>
        </is>
      </c>
      <c r="O55" s="26" t="n"/>
      <c r="P55" s="26" t="n"/>
      <c r="Q55" s="28" t="n"/>
    </row>
    <row r="56" ht="72" customHeight="1">
      <c r="A56" s="29" t="n">
        <v>46326</v>
      </c>
      <c r="B56" s="30" t="n">
        <v>8</v>
      </c>
      <c r="C56" s="30" t="inlineStr">
        <is>
          <t>周六</t>
        </is>
      </c>
      <c r="D56" s="30" t="inlineStr">
        <is>
          <t>强化期</t>
        </is>
      </c>
      <c r="E56" s="31" t="inlineStr">
        <is>
          <t>全真模考</t>
        </is>
      </c>
      <c r="F56" s="31" t="n">
        <v>170</v>
      </c>
      <c r="G56" s="32" t="inlineStr">
        <is>
          <t>[15min] 只复习到期词，不开新词</t>
        </is>
      </c>
      <c r="H56" s="32" t="inlineStr"/>
      <c r="I56" s="32" t="inlineStr"/>
      <c r="J56" s="32" t="inlineStr"/>
      <c r="K56" s="32" t="inlineStr">
        <is>
          <t>[155min] M01 全真 130 分钟：写作→听力→阅读→翻译，不暂停不查词；25 分钟核对并录入成绩</t>
        </is>
      </c>
      <c r="L56" s="32" t="inlineStr">
        <is>
          <t>M01（保留卷）；计时器；模考记录</t>
        </is>
      </c>
      <c r="M56" s="32" t="inlineStr">
        <is>
          <t>严格完成 130 分钟；出版社估分目标 ≥380；分数只看趋势，不做简单线性换算</t>
        </is>
      </c>
      <c r="N56" s="30" t="inlineStr">
        <is>
          <t>未开始</t>
        </is>
      </c>
      <c r="O56" s="30" t="n"/>
      <c r="P56" s="30" t="n"/>
      <c r="Q56" s="32" t="n"/>
    </row>
    <row r="57" ht="72" customHeight="1">
      <c r="A57" s="33" t="n">
        <v>46327</v>
      </c>
      <c r="B57" s="34" t="n">
        <v>8</v>
      </c>
      <c r="C57" s="34" t="inlineStr">
        <is>
          <t>周日</t>
        </is>
      </c>
      <c r="D57" s="34" t="inlineStr">
        <is>
          <t>强化期</t>
        </is>
      </c>
      <c r="E57" s="35" t="inlineStr">
        <is>
          <t>模考复盘</t>
        </is>
      </c>
      <c r="F57" s="35" t="n">
        <v>170</v>
      </c>
      <c r="G57" s="36" t="inlineStr">
        <is>
          <t>[20min] 模考错词 + 到期词，不开新词</t>
        </is>
      </c>
      <c r="H57" s="36" t="inlineStr">
        <is>
          <t>[45min] M01 听力错段：先盲听，再看文本听写 8 句，最后原速复测</t>
        </is>
      </c>
      <c r="I57" s="36" t="inlineStr">
        <is>
          <t>[45min] M01 阅读错题：重做、标定位句、写干扰项陷阱</t>
        </is>
      </c>
      <c r="J57" s="36" t="inlineStr">
        <is>
          <t>[40min] M01 作文/翻译：各选最差 1 段改写；只保留 3 个可复用句型</t>
        </is>
      </c>
      <c r="K57" s="36" t="inlineStr">
        <is>
          <t>[20min] 填写每周复盘和错题记录；下周只修最大 2 个问题</t>
        </is>
      </c>
      <c r="L57" s="36" t="inlineStr">
        <is>
          <t>M01；错题记录；每周复盘</t>
        </is>
      </c>
      <c r="M57" s="36" t="inlineStr">
        <is>
          <t>四部分都有复盘产物；48 小时复测日期已写入错题表</t>
        </is>
      </c>
      <c r="N57" s="34" t="inlineStr">
        <is>
          <t>未开始</t>
        </is>
      </c>
      <c r="O57" s="34" t="n"/>
      <c r="P57" s="34" t="n"/>
      <c r="Q57" s="36" t="n"/>
    </row>
    <row r="58" ht="72" customHeight="1">
      <c r="A58" s="25" t="n">
        <v>46328</v>
      </c>
      <c r="B58" s="26" t="n">
        <v>9</v>
      </c>
      <c r="C58" s="26" t="inlineStr">
        <is>
          <t>周一</t>
        </is>
      </c>
      <c r="D58" s="26" t="inlineStr">
        <is>
          <t>模考期</t>
        </is>
      </c>
      <c r="E58" s="27" t="inlineStr">
        <is>
          <t>工作日</t>
        </is>
      </c>
      <c r="F58" s="27" t="n">
        <v>115</v>
      </c>
      <c r="G58" s="28" t="inlineStr">
        <is>
          <t>[20min] 新词 10–20 + 到期复习；11/23 后停止追新词</t>
        </is>
      </c>
      <c r="H58" s="28" t="inlineStr">
        <is>
          <t>[45min] M01 听力错题精听：只练错段，听写 8 句并原速复测</t>
        </is>
      </c>
      <c r="I58" s="28" t="inlineStr">
        <is>
          <t>[35min] M01 阅读错题重做：每题写定位句和干扰项陷阱</t>
        </is>
      </c>
      <c r="J58" s="28" t="inlineStr"/>
      <c r="K58" s="28" t="inlineStr">
        <is>
          <t>[15min] 将最高频错因更新到本周修复清单</t>
        </is>
      </c>
      <c r="L58" s="28" t="inlineStr">
        <is>
          <t>M01；错题记录</t>
        </is>
      </c>
      <c r="M58" s="28" t="inlineStr">
        <is>
          <t>原题二测≥80%；修复清单最多保留 3 项</t>
        </is>
      </c>
      <c r="N58" s="26" t="inlineStr">
        <is>
          <t>未开始</t>
        </is>
      </c>
      <c r="O58" s="26" t="n"/>
      <c r="P58" s="26" t="n"/>
      <c r="Q58" s="28" t="n"/>
    </row>
    <row r="59" ht="72" customHeight="1">
      <c r="A59" s="25" t="n">
        <v>46329</v>
      </c>
      <c r="B59" s="26" t="n">
        <v>9</v>
      </c>
      <c r="C59" s="26" t="inlineStr">
        <is>
          <t>周二</t>
        </is>
      </c>
      <c r="D59" s="26" t="inlineStr">
        <is>
          <t>模考期</t>
        </is>
      </c>
      <c r="E59" s="27" t="inlineStr">
        <is>
          <t>工作日</t>
        </is>
      </c>
      <c r="F59" s="27" t="n">
        <v>115</v>
      </c>
      <c r="G59" s="28" t="inlineStr">
        <is>
          <t>[20min] 新词 10–20 + 到期复习；11/23 后停止追新词</t>
        </is>
      </c>
      <c r="H59" s="28" t="inlineStr">
        <is>
          <t>[35min] 针对最大听力短板练 1 组同题型：限时→精听→复述</t>
        </is>
      </c>
      <c r="I59" s="28" t="inlineStr">
        <is>
          <t>[35min] 针对最大阅读短板练 1 组同题型：计时→证据链</t>
        </is>
      </c>
      <c r="J59" s="28" t="inlineStr">
        <is>
          <t>[25min] 改写 M01 作文/翻译各 1 段，只改表达不重抄全文</t>
        </is>
      </c>
      <c r="K59" s="28" t="inlineStr"/>
      <c r="L59" s="28" t="inlineStr">
        <is>
          <t>真题错题；范文/AI批改</t>
        </is>
      </c>
      <c r="M59" s="28" t="inlineStr">
        <is>
          <t>两个专项都记录原始正确率；改写稿比原稿少 3 个错误</t>
        </is>
      </c>
      <c r="N59" s="26" t="inlineStr">
        <is>
          <t>未开始</t>
        </is>
      </c>
      <c r="O59" s="26" t="n"/>
      <c r="P59" s="26" t="n"/>
      <c r="Q59" s="28" t="n"/>
    </row>
    <row r="60" ht="72" customHeight="1">
      <c r="A60" s="25" t="n">
        <v>46330</v>
      </c>
      <c r="B60" s="26" t="n">
        <v>9</v>
      </c>
      <c r="C60" s="26" t="inlineStr">
        <is>
          <t>周三</t>
        </is>
      </c>
      <c r="D60" s="26" t="inlineStr">
        <is>
          <t>模考期</t>
        </is>
      </c>
      <c r="E60" s="27" t="inlineStr">
        <is>
          <t>工作日</t>
        </is>
      </c>
      <c r="F60" s="27" t="n">
        <v>120</v>
      </c>
      <c r="G60" s="28" t="inlineStr">
        <is>
          <t>[20min] 新词 10–20 + 到期复习；11/23 后停止追新词</t>
        </is>
      </c>
      <c r="H60" s="28" t="inlineStr">
        <is>
          <t>[55min] 新听力整套 30 分钟 + 25 分钟快速订正，训练连续专注</t>
        </is>
      </c>
      <c r="I60" s="28" t="inlineStr">
        <is>
          <t>[35min] 仔细阅读 2 篇，22 分钟内完成并标证据</t>
        </is>
      </c>
      <c r="J60" s="28" t="inlineStr">
        <is>
          <t>[10min] 写作：口头讲清题目立场、理由和例子</t>
        </is>
      </c>
      <c r="K60" s="28" t="inlineStr"/>
      <c r="L60" s="28" t="inlineStr">
        <is>
          <t>拆题余卷/备用题；计时器</t>
        </is>
      </c>
      <c r="M60" s="28" t="inlineStr">
        <is>
          <t>听力全程不暂停；仔细阅读≥7/10为目标</t>
        </is>
      </c>
      <c r="N60" s="26" t="inlineStr">
        <is>
          <t>未开始</t>
        </is>
      </c>
      <c r="O60" s="26" t="n"/>
      <c r="P60" s="26" t="n"/>
      <c r="Q60" s="28" t="n"/>
    </row>
    <row r="61" ht="72" customHeight="1">
      <c r="A61" s="25" t="n">
        <v>46331</v>
      </c>
      <c r="B61" s="26" t="n">
        <v>9</v>
      </c>
      <c r="C61" s="26" t="inlineStr">
        <is>
          <t>周四</t>
        </is>
      </c>
      <c r="D61" s="26" t="inlineStr">
        <is>
          <t>模考期</t>
        </is>
      </c>
      <c r="E61" s="27" t="inlineStr">
        <is>
          <t>工作日</t>
        </is>
      </c>
      <c r="F61" s="27" t="n">
        <v>115</v>
      </c>
      <c r="G61" s="28" t="inlineStr">
        <is>
          <t>[20min] 新词 10–20 + 到期复习；11/23 后停止追新词</t>
        </is>
      </c>
      <c r="H61" s="28" t="inlineStr">
        <is>
          <t>[30min] 讲座/讲话 1 组：只记结构词和数字/专名，原速复述</t>
        </is>
      </c>
      <c r="I61" s="28" t="inlineStr">
        <is>
          <t>[60min] 阅读 30 题：40 分钟整套 + 20 分钟只改仔细阅读</t>
        </is>
      </c>
      <c r="J61" s="28" t="inlineStr">
        <is>
          <t>[5min] 翻译：复习 5 个本周错句</t>
        </is>
      </c>
      <c r="K61" s="28" t="inlineStr"/>
      <c r="L61" s="28" t="inlineStr">
        <is>
          <t>备用题；错题记录</t>
        </is>
      </c>
      <c r="M61" s="28" t="inlineStr">
        <is>
          <t>阅读≤40 分钟；匹配≥7/10、仔细阅读≥7/10为目标</t>
        </is>
      </c>
      <c r="N61" s="26" t="inlineStr">
        <is>
          <t>未开始</t>
        </is>
      </c>
      <c r="O61" s="26" t="n"/>
      <c r="P61" s="26" t="n"/>
      <c r="Q61" s="28" t="n"/>
    </row>
    <row r="62" ht="72" customHeight="1">
      <c r="A62" s="25" t="n">
        <v>46332</v>
      </c>
      <c r="B62" s="26" t="n">
        <v>9</v>
      </c>
      <c r="C62" s="26" t="inlineStr">
        <is>
          <t>周五</t>
        </is>
      </c>
      <c r="D62" s="26" t="inlineStr">
        <is>
          <t>模考期</t>
        </is>
      </c>
      <c r="E62" s="27" t="inlineStr">
        <is>
          <t>工作日</t>
        </is>
      </c>
      <c r="F62" s="27" t="n">
        <v>95</v>
      </c>
      <c r="G62" s="28" t="inlineStr">
        <is>
          <t>[15min] 到期词和错词，不开新词</t>
        </is>
      </c>
      <c r="H62" s="28" t="inlineStr">
        <is>
          <t>[20min] 本周听力错句原速盲听一遍，禁止过度精听</t>
        </is>
      </c>
      <c r="I62" s="28" t="inlineStr">
        <is>
          <t>[25min] 阅读同义替换表快速回顾 + 2 道红色错题</t>
        </is>
      </c>
      <c r="J62" s="28" t="inlineStr">
        <is>
          <t>[25min] 模考作文：列提纲 + 复习 6 个稳妥连接句</t>
        </is>
      </c>
      <c r="K62" s="28" t="inlineStr">
        <is>
          <t>[10min] 准备铅笔、橡皮、耳机/收音设备和计时环境</t>
        </is>
      </c>
      <c r="L62" s="28" t="inlineStr">
        <is>
          <t>本周错题；模考用品</t>
        </is>
      </c>
      <c r="M62" s="28" t="inlineStr">
        <is>
          <t>睡前结束，不加练；确认模考卷未看答案</t>
        </is>
      </c>
      <c r="N62" s="26" t="inlineStr">
        <is>
          <t>未开始</t>
        </is>
      </c>
      <c r="O62" s="26" t="n"/>
      <c r="P62" s="26" t="n"/>
      <c r="Q62" s="28" t="n"/>
    </row>
    <row r="63" ht="72" customHeight="1">
      <c r="A63" s="29" t="n">
        <v>46333</v>
      </c>
      <c r="B63" s="30" t="n">
        <v>9</v>
      </c>
      <c r="C63" s="30" t="inlineStr">
        <is>
          <t>周六</t>
        </is>
      </c>
      <c r="D63" s="30" t="inlineStr">
        <is>
          <t>模考期</t>
        </is>
      </c>
      <c r="E63" s="31" t="inlineStr">
        <is>
          <t>全真模考</t>
        </is>
      </c>
      <c r="F63" s="31" t="n">
        <v>170</v>
      </c>
      <c r="G63" s="32" t="inlineStr">
        <is>
          <t>[15min] 只复习到期词，不开新词</t>
        </is>
      </c>
      <c r="H63" s="32" t="inlineStr"/>
      <c r="I63" s="32" t="inlineStr"/>
      <c r="J63" s="32" t="inlineStr"/>
      <c r="K63" s="32" t="inlineStr">
        <is>
          <t>[155min] M02 全真 130 分钟：写作→听力→阅读→翻译，不暂停不查词；25 分钟核对并录入成绩</t>
        </is>
      </c>
      <c r="L63" s="32" t="inlineStr">
        <is>
          <t>M02（保留卷）；计时器；模考记录</t>
        </is>
      </c>
      <c r="M63" s="32" t="inlineStr">
        <is>
          <t>严格完成 130 分钟；出版社估分目标 ≈400；分数只看趋势，不做简单线性换算</t>
        </is>
      </c>
      <c r="N63" s="30" t="inlineStr">
        <is>
          <t>未开始</t>
        </is>
      </c>
      <c r="O63" s="30" t="n"/>
      <c r="P63" s="30" t="n"/>
      <c r="Q63" s="32" t="n"/>
    </row>
    <row r="64" ht="72" customHeight="1">
      <c r="A64" s="33" t="n">
        <v>46334</v>
      </c>
      <c r="B64" s="34" t="n">
        <v>9</v>
      </c>
      <c r="C64" s="34" t="inlineStr">
        <is>
          <t>周日</t>
        </is>
      </c>
      <c r="D64" s="34" t="inlineStr">
        <is>
          <t>模考期</t>
        </is>
      </c>
      <c r="E64" s="35" t="inlineStr">
        <is>
          <t>模考复盘</t>
        </is>
      </c>
      <c r="F64" s="35" t="n">
        <v>170</v>
      </c>
      <c r="G64" s="36" t="inlineStr">
        <is>
          <t>[20min] 模考错词 + 到期词，不开新词</t>
        </is>
      </c>
      <c r="H64" s="36" t="inlineStr">
        <is>
          <t>[45min] M02 听力错段：先盲听，再看文本听写 8 句，最后原速复测</t>
        </is>
      </c>
      <c r="I64" s="36" t="inlineStr">
        <is>
          <t>[45min] M02 阅读错题：重做、标定位句、写干扰项陷阱</t>
        </is>
      </c>
      <c r="J64" s="36" t="inlineStr">
        <is>
          <t>[40min] M02 作文/翻译：各选最差 1 段改写；只保留 3 个可复用句型</t>
        </is>
      </c>
      <c r="K64" s="36" t="inlineStr">
        <is>
          <t>[20min] 填写每周复盘和错题记录；下周只修最大 2 个问题</t>
        </is>
      </c>
      <c r="L64" s="36" t="inlineStr">
        <is>
          <t>M02；错题记录；每周复盘</t>
        </is>
      </c>
      <c r="M64" s="36" t="inlineStr">
        <is>
          <t>四部分都有复盘产物；48 小时复测日期已写入错题表</t>
        </is>
      </c>
      <c r="N64" s="34" t="inlineStr">
        <is>
          <t>未开始</t>
        </is>
      </c>
      <c r="O64" s="34" t="n"/>
      <c r="P64" s="34" t="n"/>
      <c r="Q64" s="36" t="n"/>
    </row>
    <row r="65" ht="72" customHeight="1">
      <c r="A65" s="25" t="n">
        <v>46335</v>
      </c>
      <c r="B65" s="26" t="n">
        <v>10</v>
      </c>
      <c r="C65" s="26" t="inlineStr">
        <is>
          <t>周一</t>
        </is>
      </c>
      <c r="D65" s="26" t="inlineStr">
        <is>
          <t>模考期</t>
        </is>
      </c>
      <c r="E65" s="27" t="inlineStr">
        <is>
          <t>工作日</t>
        </is>
      </c>
      <c r="F65" s="27" t="n">
        <v>115</v>
      </c>
      <c r="G65" s="28" t="inlineStr">
        <is>
          <t>[20min] 新词 10–20 + 到期复习；11/23 后停止追新词</t>
        </is>
      </c>
      <c r="H65" s="28" t="inlineStr">
        <is>
          <t>[45min] M02 听力错题精听：只练错段，听写 8 句并原速复测</t>
        </is>
      </c>
      <c r="I65" s="28" t="inlineStr">
        <is>
          <t>[35min] M02 阅读错题重做：每题写定位句和干扰项陷阱</t>
        </is>
      </c>
      <c r="J65" s="28" t="inlineStr"/>
      <c r="K65" s="28" t="inlineStr">
        <is>
          <t>[15min] 将最高频错因更新到本周修复清单</t>
        </is>
      </c>
      <c r="L65" s="28" t="inlineStr">
        <is>
          <t>M02；错题记录</t>
        </is>
      </c>
      <c r="M65" s="28" t="inlineStr">
        <is>
          <t>原题二测≥80%；修复清单最多保留 3 项</t>
        </is>
      </c>
      <c r="N65" s="26" t="inlineStr">
        <is>
          <t>未开始</t>
        </is>
      </c>
      <c r="O65" s="26" t="n"/>
      <c r="P65" s="26" t="n"/>
      <c r="Q65" s="28" t="n"/>
    </row>
    <row r="66" ht="72" customHeight="1">
      <c r="A66" s="25" t="n">
        <v>46336</v>
      </c>
      <c r="B66" s="26" t="n">
        <v>10</v>
      </c>
      <c r="C66" s="26" t="inlineStr">
        <is>
          <t>周二</t>
        </is>
      </c>
      <c r="D66" s="26" t="inlineStr">
        <is>
          <t>模考期</t>
        </is>
      </c>
      <c r="E66" s="27" t="inlineStr">
        <is>
          <t>工作日</t>
        </is>
      </c>
      <c r="F66" s="27" t="n">
        <v>115</v>
      </c>
      <c r="G66" s="28" t="inlineStr">
        <is>
          <t>[20min] 新词 10–20 + 到期复习；11/23 后停止追新词</t>
        </is>
      </c>
      <c r="H66" s="28" t="inlineStr">
        <is>
          <t>[35min] 针对最大听力短板练 1 组同题型：限时→精听→复述</t>
        </is>
      </c>
      <c r="I66" s="28" t="inlineStr">
        <is>
          <t>[35min] 针对最大阅读短板练 1 组同题型：计时→证据链</t>
        </is>
      </c>
      <c r="J66" s="28" t="inlineStr">
        <is>
          <t>[25min] 改写 M02 作文/翻译各 1 段，只改表达不重抄全文</t>
        </is>
      </c>
      <c r="K66" s="28" t="inlineStr"/>
      <c r="L66" s="28" t="inlineStr">
        <is>
          <t>真题错题；范文/AI批改</t>
        </is>
      </c>
      <c r="M66" s="28" t="inlineStr">
        <is>
          <t>两个专项都记录原始正确率；改写稿比原稿少 3 个错误</t>
        </is>
      </c>
      <c r="N66" s="26" t="inlineStr">
        <is>
          <t>未开始</t>
        </is>
      </c>
      <c r="O66" s="26" t="n"/>
      <c r="P66" s="26" t="n"/>
      <c r="Q66" s="28" t="n"/>
    </row>
    <row r="67" ht="72" customHeight="1">
      <c r="A67" s="25" t="n">
        <v>46337</v>
      </c>
      <c r="B67" s="26" t="n">
        <v>10</v>
      </c>
      <c r="C67" s="26" t="inlineStr">
        <is>
          <t>周三</t>
        </is>
      </c>
      <c r="D67" s="26" t="inlineStr">
        <is>
          <t>模考期</t>
        </is>
      </c>
      <c r="E67" s="27" t="inlineStr">
        <is>
          <t>工作日</t>
        </is>
      </c>
      <c r="F67" s="27" t="n">
        <v>120</v>
      </c>
      <c r="G67" s="28" t="inlineStr">
        <is>
          <t>[20min] 新词 10–20 + 到期复习；11/23 后停止追新词</t>
        </is>
      </c>
      <c r="H67" s="28" t="inlineStr">
        <is>
          <t>[55min] 新听力整套 30 分钟 + 25 分钟快速订正，训练连续专注</t>
        </is>
      </c>
      <c r="I67" s="28" t="inlineStr">
        <is>
          <t>[35min] 仔细阅读 2 篇，22 分钟内完成并标证据</t>
        </is>
      </c>
      <c r="J67" s="28" t="inlineStr">
        <is>
          <t>[10min] 写作：口头讲清题目立场、理由和例子</t>
        </is>
      </c>
      <c r="K67" s="28" t="inlineStr"/>
      <c r="L67" s="28" t="inlineStr">
        <is>
          <t>拆题余卷/备用题；计时器</t>
        </is>
      </c>
      <c r="M67" s="28" t="inlineStr">
        <is>
          <t>听力全程不暂停；仔细阅读≥7/10为目标</t>
        </is>
      </c>
      <c r="N67" s="26" t="inlineStr">
        <is>
          <t>未开始</t>
        </is>
      </c>
      <c r="O67" s="26" t="n"/>
      <c r="P67" s="26" t="n"/>
      <c r="Q67" s="28" t="n"/>
    </row>
    <row r="68" ht="72" customHeight="1">
      <c r="A68" s="61" t="n">
        <v>46338</v>
      </c>
      <c r="B68" s="62" t="n">
        <v>10</v>
      </c>
      <c r="C68" s="62" t="inlineStr">
        <is>
          <t>周四</t>
        </is>
      </c>
      <c r="D68" s="62" t="inlineStr">
        <is>
          <t>模考期</t>
        </is>
      </c>
      <c r="E68" s="63" t="inlineStr">
        <is>
          <t>运动会·轻量</t>
        </is>
      </c>
      <c r="F68" s="63" t="n">
        <v>20</v>
      </c>
      <c r="G68" s="64" t="inlineStr">
        <is>
          <t>[20min] 只做 App 到期词和最近模考错词；不加新词</t>
        </is>
      </c>
      <c r="H68" s="64" t="inlineStr"/>
      <c r="I68" s="64" t="inlineStr"/>
      <c r="J68" s="64" t="inlineStr"/>
      <c r="K68" s="64" t="inlineStr"/>
      <c r="L68" s="64" t="inlineStr">
        <is>
          <t>不背单词；M02 错词</t>
        </is>
      </c>
      <c r="M68" s="64" t="inlineStr">
        <is>
          <t>最多 20 分钟；运动会任务不补课</t>
        </is>
      </c>
      <c r="N68" s="62" t="inlineStr">
        <is>
          <t>未开始</t>
        </is>
      </c>
      <c r="O68" s="62" t="n"/>
      <c r="P68" s="62" t="n"/>
      <c r="Q68" s="64" t="n"/>
    </row>
    <row r="69" ht="72" customHeight="1">
      <c r="A69" s="61" t="n">
        <v>46339</v>
      </c>
      <c r="B69" s="62" t="n">
        <v>10</v>
      </c>
      <c r="C69" s="62" t="inlineStr">
        <is>
          <t>周五</t>
        </is>
      </c>
      <c r="D69" s="62" t="inlineStr">
        <is>
          <t>模考期</t>
        </is>
      </c>
      <c r="E69" s="63" t="inlineStr">
        <is>
          <t>运动会·轻量</t>
        </is>
      </c>
      <c r="F69" s="63" t="n">
        <v>20</v>
      </c>
      <c r="G69" s="64" t="inlineStr">
        <is>
          <t>[20min] 只做 App 到期词和最近模考错词；不加新词</t>
        </is>
      </c>
      <c r="H69" s="64" t="inlineStr"/>
      <c r="I69" s="64" t="inlineStr"/>
      <c r="J69" s="64" t="inlineStr"/>
      <c r="K69" s="64" t="inlineStr"/>
      <c r="L69" s="64" t="inlineStr">
        <is>
          <t>不背单词；M02 错词</t>
        </is>
      </c>
      <c r="M69" s="64" t="inlineStr">
        <is>
          <t>最多 20 分钟；运动会任务不补课</t>
        </is>
      </c>
      <c r="N69" s="62" t="inlineStr">
        <is>
          <t>未开始</t>
        </is>
      </c>
      <c r="O69" s="62" t="n"/>
      <c r="P69" s="62" t="n"/>
      <c r="Q69" s="64" t="n"/>
    </row>
    <row r="70" ht="72" customHeight="1">
      <c r="A70" s="61" t="n">
        <v>46340</v>
      </c>
      <c r="B70" s="62" t="n">
        <v>10</v>
      </c>
      <c r="C70" s="62" t="inlineStr">
        <is>
          <t>周六</t>
        </is>
      </c>
      <c r="D70" s="62" t="inlineStr">
        <is>
          <t>模考期</t>
        </is>
      </c>
      <c r="E70" s="63" t="inlineStr">
        <is>
          <t>运动会·轻量</t>
        </is>
      </c>
      <c r="F70" s="63" t="n">
        <v>15</v>
      </c>
      <c r="G70" s="64" t="inlineStr">
        <is>
          <t>[15min] 只做 App 到期词和最近模考错词；不加新词</t>
        </is>
      </c>
      <c r="H70" s="64" t="inlineStr"/>
      <c r="I70" s="64" t="inlineStr"/>
      <c r="J70" s="64" t="inlineStr"/>
      <c r="K70" s="64" t="inlineStr"/>
      <c r="L70" s="64" t="inlineStr">
        <is>
          <t>不背单词；M02 错词</t>
        </is>
      </c>
      <c r="M70" s="64" t="inlineStr">
        <is>
          <t>最多 15 分钟；运动会任务不补课</t>
        </is>
      </c>
      <c r="N70" s="62" t="inlineStr">
        <is>
          <t>未开始</t>
        </is>
      </c>
      <c r="O70" s="62" t="n"/>
      <c r="P70" s="62" t="n"/>
      <c r="Q70" s="64" t="n"/>
    </row>
    <row r="71" ht="72" customHeight="1">
      <c r="A71" s="29" t="n">
        <v>46341</v>
      </c>
      <c r="B71" s="30" t="n">
        <v>10</v>
      </c>
      <c r="C71" s="30" t="inlineStr">
        <is>
          <t>周日</t>
        </is>
      </c>
      <c r="D71" s="30" t="inlineStr">
        <is>
          <t>模考期</t>
        </is>
      </c>
      <c r="E71" s="31" t="inlineStr">
        <is>
          <t>全真模考</t>
        </is>
      </c>
      <c r="F71" s="31" t="n">
        <v>170</v>
      </c>
      <c r="G71" s="32" t="inlineStr">
        <is>
          <t>[15min] 只复习到期词，不开新词</t>
        </is>
      </c>
      <c r="H71" s="32" t="inlineStr"/>
      <c r="I71" s="32" t="inlineStr"/>
      <c r="J71" s="32" t="inlineStr"/>
      <c r="K71" s="32" t="inlineStr">
        <is>
          <t>[155min] M03 全真 130 分钟：写作→听力→阅读→翻译，不暂停不查词；25 分钟核对并录入成绩</t>
        </is>
      </c>
      <c r="L71" s="32" t="inlineStr">
        <is>
          <t>M03（保留卷）；计时器；模考记录</t>
        </is>
      </c>
      <c r="M71" s="32" t="inlineStr">
        <is>
          <t>严格完成 130 分钟；出版社估分目标 ≥415；分数只看趋势，不做简单线性换算</t>
        </is>
      </c>
      <c r="N71" s="30" t="inlineStr">
        <is>
          <t>未开始</t>
        </is>
      </c>
      <c r="O71" s="30" t="n"/>
      <c r="P71" s="30" t="n"/>
      <c r="Q71" s="32" t="n"/>
    </row>
    <row r="72" ht="72" customHeight="1">
      <c r="A72" s="25" t="n">
        <v>46342</v>
      </c>
      <c r="B72" s="26" t="n">
        <v>11</v>
      </c>
      <c r="C72" s="26" t="inlineStr">
        <is>
          <t>周一</t>
        </is>
      </c>
      <c r="D72" s="26" t="inlineStr">
        <is>
          <t>模考期</t>
        </is>
      </c>
      <c r="E72" s="27" t="inlineStr">
        <is>
          <t>工作日</t>
        </is>
      </c>
      <c r="F72" s="27" t="n">
        <v>115</v>
      </c>
      <c r="G72" s="28" t="inlineStr">
        <is>
          <t>[20min] 新词 10–20 + 到期复习；11/23 后停止追新词</t>
        </is>
      </c>
      <c r="H72" s="28" t="inlineStr">
        <is>
          <t>[45min] M03 听力错题精听：只练错段，听写 8 句并原速复测</t>
        </is>
      </c>
      <c r="I72" s="28" t="inlineStr">
        <is>
          <t>[35min] M03 阅读错题重做：每题写定位句和干扰项陷阱</t>
        </is>
      </c>
      <c r="J72" s="28" t="inlineStr"/>
      <c r="K72" s="28" t="inlineStr">
        <is>
          <t>[15min] 将最高频错因更新到本周修复清单</t>
        </is>
      </c>
      <c r="L72" s="28" t="inlineStr">
        <is>
          <t>M03；错题记录</t>
        </is>
      </c>
      <c r="M72" s="28" t="inlineStr">
        <is>
          <t>原题二测≥80%；修复清单最多保留 3 项</t>
        </is>
      </c>
      <c r="N72" s="26" t="inlineStr">
        <is>
          <t>未开始</t>
        </is>
      </c>
      <c r="O72" s="26" t="n"/>
      <c r="P72" s="26" t="n"/>
      <c r="Q72" s="28" t="n"/>
    </row>
    <row r="73" ht="72" customHeight="1">
      <c r="A73" s="25" t="n">
        <v>46343</v>
      </c>
      <c r="B73" s="26" t="n">
        <v>11</v>
      </c>
      <c r="C73" s="26" t="inlineStr">
        <is>
          <t>周二</t>
        </is>
      </c>
      <c r="D73" s="26" t="inlineStr">
        <is>
          <t>模考期</t>
        </is>
      </c>
      <c r="E73" s="27" t="inlineStr">
        <is>
          <t>工作日</t>
        </is>
      </c>
      <c r="F73" s="27" t="n">
        <v>115</v>
      </c>
      <c r="G73" s="28" t="inlineStr">
        <is>
          <t>[20min] 新词 10–20 + 到期复习；11/23 后停止追新词</t>
        </is>
      </c>
      <c r="H73" s="28" t="inlineStr">
        <is>
          <t>[35min] 针对最大听力短板练 1 组同题型：限时→精听→复述</t>
        </is>
      </c>
      <c r="I73" s="28" t="inlineStr">
        <is>
          <t>[35min] 针对最大阅读短板练 1 组同题型：计时→证据链</t>
        </is>
      </c>
      <c r="J73" s="28" t="inlineStr">
        <is>
          <t>[25min] 改写 M03 作文/翻译各 1 段，只改表达不重抄全文</t>
        </is>
      </c>
      <c r="K73" s="28" t="inlineStr"/>
      <c r="L73" s="28" t="inlineStr">
        <is>
          <t>真题错题；范文/AI批改</t>
        </is>
      </c>
      <c r="M73" s="28" t="inlineStr">
        <is>
          <t>两个专项都记录原始正确率；改写稿比原稿少 3 个错误</t>
        </is>
      </c>
      <c r="N73" s="26" t="inlineStr">
        <is>
          <t>未开始</t>
        </is>
      </c>
      <c r="O73" s="26" t="n"/>
      <c r="P73" s="26" t="n"/>
      <c r="Q73" s="28" t="n"/>
    </row>
    <row r="74" ht="72" customHeight="1">
      <c r="A74" s="25" t="n">
        <v>46344</v>
      </c>
      <c r="B74" s="26" t="n">
        <v>11</v>
      </c>
      <c r="C74" s="26" t="inlineStr">
        <is>
          <t>周三</t>
        </is>
      </c>
      <c r="D74" s="26" t="inlineStr">
        <is>
          <t>模考期</t>
        </is>
      </c>
      <c r="E74" s="27" t="inlineStr">
        <is>
          <t>工作日</t>
        </is>
      </c>
      <c r="F74" s="27" t="n">
        <v>120</v>
      </c>
      <c r="G74" s="28" t="inlineStr">
        <is>
          <t>[20min] 新词 10–20 + 到期复习；11/23 后停止追新词</t>
        </is>
      </c>
      <c r="H74" s="28" t="inlineStr">
        <is>
          <t>[55min] 新听力整套 30 分钟 + 25 分钟快速订正，训练连续专注</t>
        </is>
      </c>
      <c r="I74" s="28" t="inlineStr">
        <is>
          <t>[35min] 仔细阅读 2 篇，22 分钟内完成并标证据</t>
        </is>
      </c>
      <c r="J74" s="28" t="inlineStr">
        <is>
          <t>[10min] 写作：口头讲清题目立场、理由和例子</t>
        </is>
      </c>
      <c r="K74" s="28" t="inlineStr"/>
      <c r="L74" s="28" t="inlineStr">
        <is>
          <t>拆题余卷/备用题；计时器</t>
        </is>
      </c>
      <c r="M74" s="28" t="inlineStr">
        <is>
          <t>听力全程不暂停；仔细阅读≥7/10为目标</t>
        </is>
      </c>
      <c r="N74" s="26" t="inlineStr">
        <is>
          <t>未开始</t>
        </is>
      </c>
      <c r="O74" s="26" t="n"/>
      <c r="P74" s="26" t="n"/>
      <c r="Q74" s="28" t="n"/>
    </row>
    <row r="75" ht="72" customHeight="1">
      <c r="A75" s="25" t="n">
        <v>46345</v>
      </c>
      <c r="B75" s="26" t="n">
        <v>11</v>
      </c>
      <c r="C75" s="26" t="inlineStr">
        <is>
          <t>周四</t>
        </is>
      </c>
      <c r="D75" s="26" t="inlineStr">
        <is>
          <t>模考期</t>
        </is>
      </c>
      <c r="E75" s="27" t="inlineStr">
        <is>
          <t>工作日</t>
        </is>
      </c>
      <c r="F75" s="27" t="n">
        <v>115</v>
      </c>
      <c r="G75" s="28" t="inlineStr">
        <is>
          <t>[20min] 新词 10–20 + 到期复习；11/23 后停止追新词</t>
        </is>
      </c>
      <c r="H75" s="28" t="inlineStr">
        <is>
          <t>[30min] 讲座/讲话 1 组：只记结构词和数字/专名，原速复述</t>
        </is>
      </c>
      <c r="I75" s="28" t="inlineStr">
        <is>
          <t>[60min] 阅读 30 题：40 分钟整套 + 20 分钟只改仔细阅读</t>
        </is>
      </c>
      <c r="J75" s="28" t="inlineStr">
        <is>
          <t>[5min] 翻译：复习 5 个本周错句</t>
        </is>
      </c>
      <c r="K75" s="28" t="inlineStr"/>
      <c r="L75" s="28" t="inlineStr">
        <is>
          <t>备用题；错题记录</t>
        </is>
      </c>
      <c r="M75" s="28" t="inlineStr">
        <is>
          <t>阅读≤40 分钟；匹配≥7/10、仔细阅读≥7/10为目标</t>
        </is>
      </c>
      <c r="N75" s="26" t="inlineStr">
        <is>
          <t>未开始</t>
        </is>
      </c>
      <c r="O75" s="26" t="n"/>
      <c r="P75" s="26" t="n"/>
      <c r="Q75" s="28" t="n"/>
    </row>
    <row r="76" ht="72" customHeight="1">
      <c r="A76" s="25" t="n">
        <v>46346</v>
      </c>
      <c r="B76" s="26" t="n">
        <v>11</v>
      </c>
      <c r="C76" s="26" t="inlineStr">
        <is>
          <t>周五</t>
        </is>
      </c>
      <c r="D76" s="26" t="inlineStr">
        <is>
          <t>模考期</t>
        </is>
      </c>
      <c r="E76" s="27" t="inlineStr">
        <is>
          <t>工作日</t>
        </is>
      </c>
      <c r="F76" s="27" t="n">
        <v>95</v>
      </c>
      <c r="G76" s="28" t="inlineStr">
        <is>
          <t>[15min] 到期词和错词，不开新词</t>
        </is>
      </c>
      <c r="H76" s="28" t="inlineStr">
        <is>
          <t>[20min] 本周听力错句原速盲听一遍，禁止过度精听</t>
        </is>
      </c>
      <c r="I76" s="28" t="inlineStr">
        <is>
          <t>[25min] 阅读同义替换表快速回顾 + 2 道红色错题</t>
        </is>
      </c>
      <c r="J76" s="28" t="inlineStr">
        <is>
          <t>[25min] 模考作文：列提纲 + 复习 6 个稳妥连接句</t>
        </is>
      </c>
      <c r="K76" s="28" t="inlineStr">
        <is>
          <t>[10min] 准备铅笔、橡皮、耳机/收音设备和计时环境</t>
        </is>
      </c>
      <c r="L76" s="28" t="inlineStr">
        <is>
          <t>本周错题；模考用品</t>
        </is>
      </c>
      <c r="M76" s="28" t="inlineStr">
        <is>
          <t>睡前结束，不加练；确认模考卷未看答案</t>
        </is>
      </c>
      <c r="N76" s="26" t="inlineStr">
        <is>
          <t>未开始</t>
        </is>
      </c>
      <c r="O76" s="26" t="n"/>
      <c r="P76" s="26" t="n"/>
      <c r="Q76" s="28" t="n"/>
    </row>
    <row r="77" ht="72" customHeight="1">
      <c r="A77" s="29" t="n">
        <v>46347</v>
      </c>
      <c r="B77" s="30" t="n">
        <v>11</v>
      </c>
      <c r="C77" s="30" t="inlineStr">
        <is>
          <t>周六</t>
        </is>
      </c>
      <c r="D77" s="30" t="inlineStr">
        <is>
          <t>模考期</t>
        </is>
      </c>
      <c r="E77" s="31" t="inlineStr">
        <is>
          <t>全真模考</t>
        </is>
      </c>
      <c r="F77" s="31" t="n">
        <v>170</v>
      </c>
      <c r="G77" s="32" t="inlineStr">
        <is>
          <t>[15min] 只复习到期词，不开新词</t>
        </is>
      </c>
      <c r="H77" s="32" t="inlineStr"/>
      <c r="I77" s="32" t="inlineStr"/>
      <c r="J77" s="32" t="inlineStr"/>
      <c r="K77" s="32" t="inlineStr">
        <is>
          <t>[155min] M04 全真 130 分钟：写作→听力→阅读→翻译，不暂停不查词；25 分钟核对并录入成绩</t>
        </is>
      </c>
      <c r="L77" s="32" t="inlineStr">
        <is>
          <t>M04（保留卷）；计时器；模考记录</t>
        </is>
      </c>
      <c r="M77" s="32" t="inlineStr">
        <is>
          <t>严格完成 130 分钟；出版社估分目标 ≥425；分数只看趋势，不做简单线性换算</t>
        </is>
      </c>
      <c r="N77" s="30" t="inlineStr">
        <is>
          <t>未开始</t>
        </is>
      </c>
      <c r="O77" s="30" t="n"/>
      <c r="P77" s="30" t="n"/>
      <c r="Q77" s="32" t="n"/>
    </row>
    <row r="78" ht="72" customHeight="1">
      <c r="A78" s="33" t="n">
        <v>46348</v>
      </c>
      <c r="B78" s="34" t="n">
        <v>11</v>
      </c>
      <c r="C78" s="34" t="inlineStr">
        <is>
          <t>周日</t>
        </is>
      </c>
      <c r="D78" s="34" t="inlineStr">
        <is>
          <t>模考期</t>
        </is>
      </c>
      <c r="E78" s="35" t="inlineStr">
        <is>
          <t>模考复盘</t>
        </is>
      </c>
      <c r="F78" s="35" t="n">
        <v>170</v>
      </c>
      <c r="G78" s="36" t="inlineStr">
        <is>
          <t>[20min] 模考错词 + 到期词，不开新词</t>
        </is>
      </c>
      <c r="H78" s="36" t="inlineStr">
        <is>
          <t>[45min] M04 听力错段：先盲听，再看文本听写 8 句，最后原速复测</t>
        </is>
      </c>
      <c r="I78" s="36" t="inlineStr">
        <is>
          <t>[45min] M04 阅读错题：重做、标定位句、写干扰项陷阱</t>
        </is>
      </c>
      <c r="J78" s="36" t="inlineStr">
        <is>
          <t>[40min] M04 作文/翻译：各选最差 1 段改写；只保留 3 个可复用句型</t>
        </is>
      </c>
      <c r="K78" s="36" t="inlineStr">
        <is>
          <t>[20min] 填写每周复盘和错题记录；下周只修最大 2 个问题</t>
        </is>
      </c>
      <c r="L78" s="36" t="inlineStr">
        <is>
          <t>M04；错题记录；每周复盘</t>
        </is>
      </c>
      <c r="M78" s="36" t="inlineStr">
        <is>
          <t>四部分都有复盘产物；48 小时复测日期已写入错题表</t>
        </is>
      </c>
      <c r="N78" s="34" t="inlineStr">
        <is>
          <t>未开始</t>
        </is>
      </c>
      <c r="O78" s="34" t="n"/>
      <c r="P78" s="34" t="n"/>
      <c r="Q78" s="36" t="n"/>
    </row>
    <row r="79" ht="72" customHeight="1">
      <c r="A79" s="25" t="n">
        <v>46349</v>
      </c>
      <c r="B79" s="26" t="n">
        <v>12</v>
      </c>
      <c r="C79" s="26" t="inlineStr">
        <is>
          <t>周一</t>
        </is>
      </c>
      <c r="D79" s="26" t="inlineStr">
        <is>
          <t>模考期</t>
        </is>
      </c>
      <c r="E79" s="27" t="inlineStr">
        <is>
          <t>工作日</t>
        </is>
      </c>
      <c r="F79" s="27" t="n">
        <v>115</v>
      </c>
      <c r="G79" s="28" t="inlineStr">
        <is>
          <t>[20min] 新词 10–20 + 到期复习；11/23 后停止追新词</t>
        </is>
      </c>
      <c r="H79" s="28" t="inlineStr">
        <is>
          <t>[45min] M04 听力错题精听：只练错段，听写 8 句并原速复测</t>
        </is>
      </c>
      <c r="I79" s="28" t="inlineStr">
        <is>
          <t>[35min] M04 阅读错题重做：每题写定位句和干扰项陷阱</t>
        </is>
      </c>
      <c r="J79" s="28" t="inlineStr"/>
      <c r="K79" s="28" t="inlineStr">
        <is>
          <t>[15min] 将最高频错因更新到本周修复清单</t>
        </is>
      </c>
      <c r="L79" s="28" t="inlineStr">
        <is>
          <t>M04；错题记录</t>
        </is>
      </c>
      <c r="M79" s="28" t="inlineStr">
        <is>
          <t>原题二测≥80%；修复清单最多保留 3 项</t>
        </is>
      </c>
      <c r="N79" s="26" t="inlineStr">
        <is>
          <t>未开始</t>
        </is>
      </c>
      <c r="O79" s="26" t="n"/>
      <c r="P79" s="26" t="n"/>
      <c r="Q79" s="28" t="n"/>
    </row>
    <row r="80" ht="72" customHeight="1">
      <c r="A80" s="25" t="n">
        <v>46350</v>
      </c>
      <c r="B80" s="26" t="n">
        <v>12</v>
      </c>
      <c r="C80" s="26" t="inlineStr">
        <is>
          <t>周二</t>
        </is>
      </c>
      <c r="D80" s="26" t="inlineStr">
        <is>
          <t>模考期</t>
        </is>
      </c>
      <c r="E80" s="27" t="inlineStr">
        <is>
          <t>工作日</t>
        </is>
      </c>
      <c r="F80" s="27" t="n">
        <v>115</v>
      </c>
      <c r="G80" s="28" t="inlineStr">
        <is>
          <t>[20min] 新词 10–20 + 到期复习；11/23 后停止追新词</t>
        </is>
      </c>
      <c r="H80" s="28" t="inlineStr">
        <is>
          <t>[35min] 针对最大听力短板练 1 组同题型：限时→精听→复述</t>
        </is>
      </c>
      <c r="I80" s="28" t="inlineStr">
        <is>
          <t>[35min] 针对最大阅读短板练 1 组同题型：计时→证据链</t>
        </is>
      </c>
      <c r="J80" s="28" t="inlineStr">
        <is>
          <t>[25min] 改写 M04 作文/翻译各 1 段，只改表达不重抄全文</t>
        </is>
      </c>
      <c r="K80" s="28" t="inlineStr"/>
      <c r="L80" s="28" t="inlineStr">
        <is>
          <t>真题错题；范文/AI批改</t>
        </is>
      </c>
      <c r="M80" s="28" t="inlineStr">
        <is>
          <t>两个专项都记录原始正确率；改写稿比原稿少 3 个错误</t>
        </is>
      </c>
      <c r="N80" s="26" t="inlineStr">
        <is>
          <t>未开始</t>
        </is>
      </c>
      <c r="O80" s="26" t="n"/>
      <c r="P80" s="26" t="n"/>
      <c r="Q80" s="28" t="n"/>
    </row>
    <row r="81" ht="72" customHeight="1">
      <c r="A81" s="25" t="n">
        <v>46351</v>
      </c>
      <c r="B81" s="26" t="n">
        <v>12</v>
      </c>
      <c r="C81" s="26" t="inlineStr">
        <is>
          <t>周三</t>
        </is>
      </c>
      <c r="D81" s="26" t="inlineStr">
        <is>
          <t>模考期</t>
        </is>
      </c>
      <c r="E81" s="27" t="inlineStr">
        <is>
          <t>工作日</t>
        </is>
      </c>
      <c r="F81" s="27" t="n">
        <v>120</v>
      </c>
      <c r="G81" s="28" t="inlineStr">
        <is>
          <t>[20min] 新词 10–20 + 到期复习；11/23 后停止追新词</t>
        </is>
      </c>
      <c r="H81" s="28" t="inlineStr">
        <is>
          <t>[55min] 新听力整套 30 分钟 + 25 分钟快速订正，训练连续专注</t>
        </is>
      </c>
      <c r="I81" s="28" t="inlineStr">
        <is>
          <t>[35min] 仔细阅读 2 篇，22 分钟内完成并标证据</t>
        </is>
      </c>
      <c r="J81" s="28" t="inlineStr">
        <is>
          <t>[10min] 写作：口头讲清题目立场、理由和例子</t>
        </is>
      </c>
      <c r="K81" s="28" t="inlineStr"/>
      <c r="L81" s="28" t="inlineStr">
        <is>
          <t>拆题余卷/备用题；计时器</t>
        </is>
      </c>
      <c r="M81" s="28" t="inlineStr">
        <is>
          <t>听力全程不暂停；仔细阅读≥7/10为目标</t>
        </is>
      </c>
      <c r="N81" s="26" t="inlineStr">
        <is>
          <t>未开始</t>
        </is>
      </c>
      <c r="O81" s="26" t="n"/>
      <c r="P81" s="26" t="n"/>
      <c r="Q81" s="28" t="n"/>
    </row>
    <row r="82" ht="72" customHeight="1">
      <c r="A82" s="25" t="n">
        <v>46352</v>
      </c>
      <c r="B82" s="26" t="n">
        <v>12</v>
      </c>
      <c r="C82" s="26" t="inlineStr">
        <is>
          <t>周四</t>
        </is>
      </c>
      <c r="D82" s="26" t="inlineStr">
        <is>
          <t>模考期</t>
        </is>
      </c>
      <c r="E82" s="27" t="inlineStr">
        <is>
          <t>工作日</t>
        </is>
      </c>
      <c r="F82" s="27" t="n">
        <v>115</v>
      </c>
      <c r="G82" s="28" t="inlineStr">
        <is>
          <t>[20min] 新词 10–20 + 到期复习；11/23 后停止追新词</t>
        </is>
      </c>
      <c r="H82" s="28" t="inlineStr">
        <is>
          <t>[30min] 讲座/讲话 1 组：只记结构词和数字/专名，原速复述</t>
        </is>
      </c>
      <c r="I82" s="28" t="inlineStr">
        <is>
          <t>[60min] 阅读 30 题：40 分钟整套 + 20 分钟只改仔细阅读</t>
        </is>
      </c>
      <c r="J82" s="28" t="inlineStr">
        <is>
          <t>[5min] 翻译：复习 5 个本周错句</t>
        </is>
      </c>
      <c r="K82" s="28" t="inlineStr"/>
      <c r="L82" s="28" t="inlineStr">
        <is>
          <t>备用题；错题记录</t>
        </is>
      </c>
      <c r="M82" s="28" t="inlineStr">
        <is>
          <t>阅读≤40 分钟；匹配≥7/10、仔细阅读≥7/10为目标</t>
        </is>
      </c>
      <c r="N82" s="26" t="inlineStr">
        <is>
          <t>未开始</t>
        </is>
      </c>
      <c r="O82" s="26" t="n"/>
      <c r="P82" s="26" t="n"/>
      <c r="Q82" s="28" t="n"/>
    </row>
    <row r="83" ht="72" customHeight="1">
      <c r="A83" s="25" t="n">
        <v>46353</v>
      </c>
      <c r="B83" s="26" t="n">
        <v>12</v>
      </c>
      <c r="C83" s="26" t="inlineStr">
        <is>
          <t>周五</t>
        </is>
      </c>
      <c r="D83" s="26" t="inlineStr">
        <is>
          <t>模考期</t>
        </is>
      </c>
      <c r="E83" s="27" t="inlineStr">
        <is>
          <t>工作日</t>
        </is>
      </c>
      <c r="F83" s="27" t="n">
        <v>95</v>
      </c>
      <c r="G83" s="28" t="inlineStr">
        <is>
          <t>[15min] 到期词和错词，不开新词</t>
        </is>
      </c>
      <c r="H83" s="28" t="inlineStr">
        <is>
          <t>[20min] 本周听力错句原速盲听一遍，禁止过度精听</t>
        </is>
      </c>
      <c r="I83" s="28" t="inlineStr">
        <is>
          <t>[25min] 阅读同义替换表快速回顾 + 2 道红色错题</t>
        </is>
      </c>
      <c r="J83" s="28" t="inlineStr">
        <is>
          <t>[25min] 模考作文：列提纲 + 复习 6 个稳妥连接句</t>
        </is>
      </c>
      <c r="K83" s="28" t="inlineStr">
        <is>
          <t>[10min] 准备铅笔、橡皮、耳机/收音设备和计时环境</t>
        </is>
      </c>
      <c r="L83" s="28" t="inlineStr">
        <is>
          <t>本周错题；模考用品</t>
        </is>
      </c>
      <c r="M83" s="28" t="inlineStr">
        <is>
          <t>睡前结束，不加练；确认模考卷未看答案</t>
        </is>
      </c>
      <c r="N83" s="26" t="inlineStr">
        <is>
          <t>未开始</t>
        </is>
      </c>
      <c r="O83" s="26" t="n"/>
      <c r="P83" s="26" t="n"/>
      <c r="Q83" s="28" t="n"/>
    </row>
    <row r="84" ht="72" customHeight="1">
      <c r="A84" s="29" t="n">
        <v>46354</v>
      </c>
      <c r="B84" s="30" t="n">
        <v>12</v>
      </c>
      <c r="C84" s="30" t="inlineStr">
        <is>
          <t>周六</t>
        </is>
      </c>
      <c r="D84" s="30" t="inlineStr">
        <is>
          <t>模考期</t>
        </is>
      </c>
      <c r="E84" s="31" t="inlineStr">
        <is>
          <t>全真模考</t>
        </is>
      </c>
      <c r="F84" s="31" t="n">
        <v>170</v>
      </c>
      <c r="G84" s="32" t="inlineStr">
        <is>
          <t>[15min] 只复习到期词，不开新词</t>
        </is>
      </c>
      <c r="H84" s="32" t="inlineStr"/>
      <c r="I84" s="32" t="inlineStr"/>
      <c r="J84" s="32" t="inlineStr"/>
      <c r="K84" s="32" t="inlineStr">
        <is>
          <t>[155min] M05 全真 130 分钟：写作→听力→阅读→翻译，不暂停不查词；25 分钟核对并录入成绩</t>
        </is>
      </c>
      <c r="L84" s="32" t="inlineStr">
        <is>
          <t>M05（保留卷）；计时器；模考记录</t>
        </is>
      </c>
      <c r="M84" s="32" t="inlineStr">
        <is>
          <t>严格完成 130 分钟；出版社估分目标 ≥435；分数只看趋势，不做简单线性换算</t>
        </is>
      </c>
      <c r="N84" s="30" t="inlineStr">
        <is>
          <t>未开始</t>
        </is>
      </c>
      <c r="O84" s="30" t="n"/>
      <c r="P84" s="30" t="n"/>
      <c r="Q84" s="32" t="n"/>
    </row>
    <row r="85" ht="72" customHeight="1">
      <c r="A85" s="33" t="n">
        <v>46355</v>
      </c>
      <c r="B85" s="34" t="n">
        <v>12</v>
      </c>
      <c r="C85" s="34" t="inlineStr">
        <is>
          <t>周日</t>
        </is>
      </c>
      <c r="D85" s="34" t="inlineStr">
        <is>
          <t>模考期</t>
        </is>
      </c>
      <c r="E85" s="35" t="inlineStr">
        <is>
          <t>模考复盘</t>
        </is>
      </c>
      <c r="F85" s="35" t="n">
        <v>170</v>
      </c>
      <c r="G85" s="36" t="inlineStr">
        <is>
          <t>[20min] 模考错词 + 到期词，不开新词</t>
        </is>
      </c>
      <c r="H85" s="36" t="inlineStr">
        <is>
          <t>[45min] M05 听力错段：先盲听，再看文本听写 8 句，最后原速复测</t>
        </is>
      </c>
      <c r="I85" s="36" t="inlineStr">
        <is>
          <t>[45min] M05 阅读错题：重做、标定位句、写干扰项陷阱</t>
        </is>
      </c>
      <c r="J85" s="36" t="inlineStr">
        <is>
          <t>[40min] M05 作文/翻译：各选最差 1 段改写；只保留 3 个可复用句型</t>
        </is>
      </c>
      <c r="K85" s="36" t="inlineStr">
        <is>
          <t>[20min] 填写每周复盘和错题记录；下周只修最大 2 个问题</t>
        </is>
      </c>
      <c r="L85" s="36" t="inlineStr">
        <is>
          <t>M05；错题记录；每周复盘</t>
        </is>
      </c>
      <c r="M85" s="36" t="inlineStr">
        <is>
          <t>四部分都有复盘产物；48 小时复测日期已写入错题表</t>
        </is>
      </c>
      <c r="N85" s="34" t="inlineStr">
        <is>
          <t>未开始</t>
        </is>
      </c>
      <c r="O85" s="34" t="n"/>
      <c r="P85" s="34" t="n"/>
      <c r="Q85" s="36" t="n"/>
    </row>
    <row r="86" ht="72" customHeight="1">
      <c r="A86" s="25" t="n">
        <v>46356</v>
      </c>
      <c r="B86" s="26" t="n">
        <v>13</v>
      </c>
      <c r="C86" s="26" t="inlineStr">
        <is>
          <t>周一</t>
        </is>
      </c>
      <c r="D86" s="26" t="inlineStr">
        <is>
          <t>冲刺期</t>
        </is>
      </c>
      <c r="E86" s="27" t="inlineStr">
        <is>
          <t>工作日</t>
        </is>
      </c>
      <c r="F86" s="27" t="n">
        <v>115</v>
      </c>
      <c r="G86" s="28" t="inlineStr">
        <is>
          <t>[15min] 错词和到期词，不开新词</t>
        </is>
      </c>
      <c r="H86" s="28" t="inlineStr">
        <is>
          <t>[40min] M05 听力错段精听 + 原速二测</t>
        </is>
      </c>
      <c r="I86" s="28" t="inlineStr">
        <is>
          <t>[35min] M05 阅读错题重做并标证据</t>
        </is>
      </c>
      <c r="J86" s="28" t="inlineStr">
        <is>
          <t>[15min] M05 作文最差一段改写</t>
        </is>
      </c>
      <c r="K86" s="28" t="inlineStr">
        <is>
          <t>[10min] 只保留两个最大问题</t>
        </is>
      </c>
      <c r="L86" s="28" t="inlineStr">
        <is>
          <t>M05/M06 错题；红色清单</t>
        </is>
      </c>
      <c r="M86" s="28" t="inlineStr">
        <is>
          <t>M05 原题二测≥80%；修复项≤2</t>
        </is>
      </c>
      <c r="N86" s="26" t="inlineStr">
        <is>
          <t>未开始</t>
        </is>
      </c>
      <c r="O86" s="26" t="n"/>
      <c r="P86" s="26" t="n"/>
      <c r="Q86" s="28" t="n"/>
    </row>
    <row r="87" ht="72" customHeight="1">
      <c r="A87" s="25" t="n">
        <v>46357</v>
      </c>
      <c r="B87" s="26" t="n">
        <v>13</v>
      </c>
      <c r="C87" s="26" t="inlineStr">
        <is>
          <t>周二</t>
        </is>
      </c>
      <c r="D87" s="26" t="inlineStr">
        <is>
          <t>冲刺期</t>
        </is>
      </c>
      <c r="E87" s="27" t="inlineStr">
        <is>
          <t>工作日</t>
        </is>
      </c>
      <c r="F87" s="27" t="n">
        <v>110</v>
      </c>
      <c r="G87" s="28" t="inlineStr">
        <is>
          <t>[15min] 错词复习</t>
        </is>
      </c>
      <c r="H87" s="28" t="inlineStr">
        <is>
          <t>[35min] 最大听力短板 1 组，限时后只精听错段</t>
        </is>
      </c>
      <c r="I87" s="28" t="inlineStr">
        <is>
          <t>[35min] 最大阅读短板 1 组，严格计时</t>
        </is>
      </c>
      <c r="J87" s="28" t="inlineStr">
        <is>
          <t>[20min] 翻译 1 段，检查三类低级错</t>
        </is>
      </c>
      <c r="K87" s="28" t="inlineStr">
        <is>
          <t>[5min] 记录正确率</t>
        </is>
      </c>
      <c r="L87" s="28" t="inlineStr">
        <is>
          <t>M05/M06 错题；红色清单</t>
        </is>
      </c>
      <c r="M87" s="28" t="inlineStr">
        <is>
          <t>两项专项均完成并记录正确率</t>
        </is>
      </c>
      <c r="N87" s="26" t="inlineStr">
        <is>
          <t>未开始</t>
        </is>
      </c>
      <c r="O87" s="26" t="n"/>
      <c r="P87" s="26" t="n"/>
      <c r="Q87" s="28" t="n"/>
    </row>
    <row r="88" ht="72" customHeight="1">
      <c r="A88" s="25" t="n">
        <v>46358</v>
      </c>
      <c r="B88" s="26" t="n">
        <v>13</v>
      </c>
      <c r="C88" s="26" t="inlineStr">
        <is>
          <t>周三</t>
        </is>
      </c>
      <c r="D88" s="26" t="inlineStr">
        <is>
          <t>冲刺期</t>
        </is>
      </c>
      <c r="E88" s="27" t="inlineStr">
        <is>
          <t>工作日</t>
        </is>
      </c>
      <c r="F88" s="27" t="n">
        <v>110</v>
      </c>
      <c r="G88" s="28" t="inlineStr">
        <is>
          <t>[15min] 错词复习</t>
        </is>
      </c>
      <c r="H88" s="28" t="inlineStr">
        <is>
          <t>[45min] 听力整套 30 分钟 + 快速订正 15 分钟</t>
        </is>
      </c>
      <c r="I88" s="28" t="inlineStr">
        <is>
          <t>[35min] 仔细阅读 2 篇，22 分钟内作答</t>
        </is>
      </c>
      <c r="J88" s="28" t="inlineStr">
        <is>
          <t>[10min] 作文口头提纲</t>
        </is>
      </c>
      <c r="K88" s="28" t="inlineStr">
        <is>
          <t>[5min] 标记 M06 前注意点</t>
        </is>
      </c>
      <c r="L88" s="28" t="inlineStr">
        <is>
          <t>M05/M06 错题；红色清单</t>
        </is>
      </c>
      <c r="M88" s="28" t="inlineStr">
        <is>
          <t>听力不停顿；阅读≥7/10</t>
        </is>
      </c>
      <c r="N88" s="26" t="inlineStr">
        <is>
          <t>未开始</t>
        </is>
      </c>
      <c r="O88" s="26" t="n"/>
      <c r="P88" s="26" t="n"/>
      <c r="Q88" s="28" t="n"/>
    </row>
    <row r="89" ht="72" customHeight="1">
      <c r="A89" s="25" t="n">
        <v>46359</v>
      </c>
      <c r="B89" s="26" t="n">
        <v>13</v>
      </c>
      <c r="C89" s="26" t="inlineStr">
        <is>
          <t>周四</t>
        </is>
      </c>
      <c r="D89" s="26" t="inlineStr">
        <is>
          <t>冲刺期</t>
        </is>
      </c>
      <c r="E89" s="27" t="inlineStr">
        <is>
          <t>工作日</t>
        </is>
      </c>
      <c r="F89" s="27" t="n">
        <v>105</v>
      </c>
      <c r="G89" s="28" t="inlineStr">
        <is>
          <t>[15min] 错词复习</t>
        </is>
      </c>
      <c r="H89" s="28" t="inlineStr">
        <is>
          <t>[25min] 讲座/讲话 1 组原速复述</t>
        </is>
      </c>
      <c r="I89" s="28" t="inlineStr">
        <is>
          <t>[45min] 阅读整套 40 分钟 + 5 分钟记录</t>
        </is>
      </c>
      <c r="J89" s="28" t="inlineStr">
        <is>
          <t>[15min] 翻译复习 5 个稳妥句型</t>
        </is>
      </c>
      <c r="K89" s="28" t="inlineStr">
        <is>
          <t>[5min] 检查时间分配</t>
        </is>
      </c>
      <c r="L89" s="28" t="inlineStr">
        <is>
          <t>M05/M06 错题；红色清单</t>
        </is>
      </c>
      <c r="M89" s="28" t="inlineStr">
        <is>
          <t>阅读≤40 分钟；不引入新技巧</t>
        </is>
      </c>
      <c r="N89" s="26" t="inlineStr">
        <is>
          <t>未开始</t>
        </is>
      </c>
      <c r="O89" s="26" t="n"/>
      <c r="P89" s="26" t="n"/>
      <c r="Q89" s="28" t="n"/>
    </row>
    <row r="90" ht="72" customHeight="1">
      <c r="A90" s="25" t="n">
        <v>46360</v>
      </c>
      <c r="B90" s="26" t="n">
        <v>13</v>
      </c>
      <c r="C90" s="26" t="inlineStr">
        <is>
          <t>周五</t>
        </is>
      </c>
      <c r="D90" s="26" t="inlineStr">
        <is>
          <t>冲刺期</t>
        </is>
      </c>
      <c r="E90" s="27" t="inlineStr">
        <is>
          <t>工作日</t>
        </is>
      </c>
      <c r="F90" s="27" t="n">
        <v>75</v>
      </c>
      <c r="G90" s="28" t="inlineStr">
        <is>
          <t>[15min] 到期词，不开新词</t>
        </is>
      </c>
      <c r="H90" s="28" t="inlineStr">
        <is>
          <t>[15min] 红色错句盲听一遍</t>
        </is>
      </c>
      <c r="I90" s="28" t="inlineStr">
        <is>
          <t>[15min] 红色阅读错题 3 道</t>
        </is>
      </c>
      <c r="J90" s="28" t="inlineStr">
        <is>
          <t>[20min] M06 作文提纲 + 连接句</t>
        </is>
      </c>
      <c r="K90" s="28" t="inlineStr">
        <is>
          <t>[10min] 准备模考环境，提前结束</t>
        </is>
      </c>
      <c r="L90" s="28" t="inlineStr">
        <is>
          <t>M05/M06 错题；红色清单</t>
        </is>
      </c>
      <c r="M90" s="28" t="inlineStr">
        <is>
          <t>75 分钟到点停止；保证睡眠</t>
        </is>
      </c>
      <c r="N90" s="26" t="inlineStr">
        <is>
          <t>未开始</t>
        </is>
      </c>
      <c r="O90" s="26" t="n"/>
      <c r="P90" s="26" t="n"/>
      <c r="Q90" s="28" t="n"/>
    </row>
    <row r="91" ht="72" customHeight="1">
      <c r="A91" s="29" t="n">
        <v>46361</v>
      </c>
      <c r="B91" s="30" t="n">
        <v>13</v>
      </c>
      <c r="C91" s="30" t="inlineStr">
        <is>
          <t>周六</t>
        </is>
      </c>
      <c r="D91" s="30" t="inlineStr">
        <is>
          <t>冲刺期</t>
        </is>
      </c>
      <c r="E91" s="31" t="inlineStr">
        <is>
          <t>全真模考</t>
        </is>
      </c>
      <c r="F91" s="31" t="n">
        <v>170</v>
      </c>
      <c r="G91" s="32" t="inlineStr">
        <is>
          <t>[15min] 只复习到期词，不开新词</t>
        </is>
      </c>
      <c r="H91" s="32" t="inlineStr"/>
      <c r="I91" s="32" t="inlineStr"/>
      <c r="J91" s="32" t="inlineStr"/>
      <c r="K91" s="32" t="inlineStr">
        <is>
          <t>[155min] M06 全真 130 分钟：写作→听力→阅读→翻译，不暂停不查词；25 分钟核对并录入成绩</t>
        </is>
      </c>
      <c r="L91" s="32" t="inlineStr">
        <is>
          <t>M06（保留卷）；计时器；模考记录</t>
        </is>
      </c>
      <c r="M91" s="32" t="inlineStr">
        <is>
          <t>严格完成 130 分钟；出版社估分目标 ≥450（或近两套均≥425）；分数只看趋势，不做简单线性换算</t>
        </is>
      </c>
      <c r="N91" s="30" t="inlineStr">
        <is>
          <t>未开始</t>
        </is>
      </c>
      <c r="O91" s="30" t="n"/>
      <c r="P91" s="30" t="n"/>
      <c r="Q91" s="32" t="n"/>
    </row>
    <row r="92" ht="72" customHeight="1">
      <c r="A92" s="33" t="n">
        <v>46362</v>
      </c>
      <c r="B92" s="34" t="n">
        <v>13</v>
      </c>
      <c r="C92" s="34" t="inlineStr">
        <is>
          <t>周日</t>
        </is>
      </c>
      <c r="D92" s="34" t="inlineStr">
        <is>
          <t>冲刺期</t>
        </is>
      </c>
      <c r="E92" s="35" t="inlineStr">
        <is>
          <t>模考复盘</t>
        </is>
      </c>
      <c r="F92" s="35" t="n">
        <v>170</v>
      </c>
      <c r="G92" s="36" t="inlineStr">
        <is>
          <t>[20min] 模考错词 + 到期词，不开新词</t>
        </is>
      </c>
      <c r="H92" s="36" t="inlineStr">
        <is>
          <t>[45min] M06 听力错段：先盲听，再看文本听写 8 句，最后原速复测</t>
        </is>
      </c>
      <c r="I92" s="36" t="inlineStr">
        <is>
          <t>[45min] M06 阅读错题：重做、标定位句、写干扰项陷阱</t>
        </is>
      </c>
      <c r="J92" s="36" t="inlineStr">
        <is>
          <t>[40min] M06 作文/翻译：各选最差 1 段改写；只保留 3 个可复用句型</t>
        </is>
      </c>
      <c r="K92" s="36" t="inlineStr">
        <is>
          <t>[20min] 填写每周复盘和错题记录；下周只修最大 2 个问题</t>
        </is>
      </c>
      <c r="L92" s="36" t="inlineStr">
        <is>
          <t>M06；错题记录；每周复盘</t>
        </is>
      </c>
      <c r="M92" s="36" t="inlineStr">
        <is>
          <t>四部分都有复盘产物；48 小时复测日期已写入错题表</t>
        </is>
      </c>
      <c r="N92" s="34" t="inlineStr">
        <is>
          <t>未开始</t>
        </is>
      </c>
      <c r="O92" s="34" t="n"/>
      <c r="P92" s="34" t="n"/>
      <c r="Q92" s="36" t="n"/>
    </row>
    <row r="93" ht="72" customHeight="1">
      <c r="A93" s="65" t="n">
        <v>46363</v>
      </c>
      <c r="B93" s="66" t="n">
        <v>14</v>
      </c>
      <c r="C93" s="66" t="inlineStr">
        <is>
          <t>周一</t>
        </is>
      </c>
      <c r="D93" s="66" t="inlineStr">
        <is>
          <t>冲刺期</t>
        </is>
      </c>
      <c r="E93" s="67" t="inlineStr">
        <is>
          <t>考前减量</t>
        </is>
      </c>
      <c r="F93" s="67" t="n">
        <v>100</v>
      </c>
      <c r="G93" s="68" t="inlineStr">
        <is>
          <t>[15min] M06 错词</t>
        </is>
      </c>
      <c r="H93" s="68" t="inlineStr">
        <is>
          <t>[35min] M06 最难 3 段原速二测</t>
        </is>
      </c>
      <c r="I93" s="68" t="inlineStr">
        <is>
          <t>[30min] M06 仔细阅读错题重做</t>
        </is>
      </c>
      <c r="J93" s="68" t="inlineStr">
        <is>
          <t>[10min] 作文最差一段改写</t>
        </is>
      </c>
      <c r="K93" s="68" t="inlineStr">
        <is>
          <t>[10min] 确认最终两项提醒</t>
        </is>
      </c>
      <c r="L93" s="68" t="inlineStr">
        <is>
          <t>M05/M06 错题；红色清单</t>
        </is>
      </c>
      <c r="M93" s="68" t="inlineStr">
        <is>
          <t>只修已知错误，不开新材料</t>
        </is>
      </c>
      <c r="N93" s="66" t="inlineStr">
        <is>
          <t>未开始</t>
        </is>
      </c>
      <c r="O93" s="66" t="n"/>
      <c r="P93" s="66" t="n"/>
      <c r="Q93" s="68" t="n"/>
    </row>
    <row r="94" ht="72" customHeight="1">
      <c r="A94" s="65" t="n">
        <v>46364</v>
      </c>
      <c r="B94" s="66" t="n">
        <v>14</v>
      </c>
      <c r="C94" s="66" t="inlineStr">
        <is>
          <t>周二</t>
        </is>
      </c>
      <c r="D94" s="66" t="inlineStr">
        <is>
          <t>冲刺期</t>
        </is>
      </c>
      <c r="E94" s="67" t="inlineStr">
        <is>
          <t>考前减量</t>
        </is>
      </c>
      <c r="F94" s="67" t="n">
        <v>100</v>
      </c>
      <c r="G94" s="68" t="inlineStr">
        <is>
          <t>[15min] 错词复习</t>
        </is>
      </c>
      <c r="H94" s="68" t="inlineStr">
        <is>
          <t>[30min] 听力半套 15 分钟 + 快速核对</t>
        </is>
      </c>
      <c r="I94" s="68" t="inlineStr">
        <is>
          <t>[30min] 仔细阅读 1 篇 + 匹配半篇，合计 25 分钟内</t>
        </is>
      </c>
      <c r="J94" s="68" t="inlineStr">
        <is>
          <t>[20min] 翻译 1 段，限时 20 分钟</t>
        </is>
      </c>
      <c r="K94" s="68" t="inlineStr">
        <is>
          <t>[5min] 记录节奏</t>
        </is>
      </c>
      <c r="L94" s="68" t="inlineStr">
        <is>
          <t>M05/M06 错题；红色清单</t>
        </is>
      </c>
      <c r="M94" s="68" t="inlineStr">
        <is>
          <t>保持手感；所有任务一次完成不重刷</t>
        </is>
      </c>
      <c r="N94" s="66" t="inlineStr">
        <is>
          <t>未开始</t>
        </is>
      </c>
      <c r="O94" s="66" t="n"/>
      <c r="P94" s="66" t="n"/>
      <c r="Q94" s="68" t="n"/>
    </row>
    <row r="95" ht="72" customHeight="1">
      <c r="A95" s="65" t="n">
        <v>46365</v>
      </c>
      <c r="B95" s="66" t="n">
        <v>14</v>
      </c>
      <c r="C95" s="66" t="inlineStr">
        <is>
          <t>周三</t>
        </is>
      </c>
      <c r="D95" s="66" t="inlineStr">
        <is>
          <t>冲刺期</t>
        </is>
      </c>
      <c r="E95" s="67" t="inlineStr">
        <is>
          <t>考前减量</t>
        </is>
      </c>
      <c r="F95" s="67" t="n">
        <v>90</v>
      </c>
      <c r="G95" s="68" t="inlineStr">
        <is>
          <t>[15min] 错词复习</t>
        </is>
      </c>
      <c r="H95" s="68" t="inlineStr">
        <is>
          <t>[25min] 讲座错句与数字/专名清单</t>
        </is>
      </c>
      <c r="I95" s="68" t="inlineStr">
        <is>
          <t>[25min] 阅读同义替换清单 + 2 道错题</t>
        </is>
      </c>
      <c r="J95" s="68" t="inlineStr">
        <is>
          <t>[20min] 作文 3 类题目各列 1 个提纲</t>
        </is>
      </c>
      <c r="K95" s="68" t="inlineStr">
        <is>
          <t>[5min] 背准而非背多</t>
        </is>
      </c>
      <c r="L95" s="68" t="inlineStr">
        <is>
          <t>M05/M06 错题；红色清单</t>
        </is>
      </c>
      <c r="M95" s="68" t="inlineStr">
        <is>
          <t>三个提纲均可 5 分钟内完成</t>
        </is>
      </c>
      <c r="N95" s="66" t="inlineStr">
        <is>
          <t>未开始</t>
        </is>
      </c>
      <c r="O95" s="66" t="n"/>
      <c r="P95" s="66" t="n"/>
      <c r="Q95" s="68" t="n"/>
    </row>
    <row r="96" ht="72" customHeight="1">
      <c r="A96" s="65" t="n">
        <v>46366</v>
      </c>
      <c r="B96" s="66" t="n">
        <v>14</v>
      </c>
      <c r="C96" s="66" t="inlineStr">
        <is>
          <t>周四</t>
        </is>
      </c>
      <c r="D96" s="66" t="inlineStr">
        <is>
          <t>冲刺期</t>
        </is>
      </c>
      <c r="E96" s="67" t="inlineStr">
        <is>
          <t>考前减量</t>
        </is>
      </c>
      <c r="F96" s="67" t="n">
        <v>75</v>
      </c>
      <c r="G96" s="68" t="inlineStr">
        <is>
          <t>[15min] 只复习错词</t>
        </is>
      </c>
      <c r="H96" s="68" t="inlineStr">
        <is>
          <t>[20min] 听力红色清单原速一遍</t>
        </is>
      </c>
      <c r="I96" s="68" t="inlineStr">
        <is>
          <t>[20min] 阅读红色清单一遍</t>
        </is>
      </c>
      <c r="J96" s="68" t="inlineStr">
        <is>
          <t>[15min] 翻译常错语法 + 5 个连接句</t>
        </is>
      </c>
      <c r="K96" s="68" t="inlineStr">
        <is>
          <t>[5min] 准考证/证件/设备清单</t>
        </is>
      </c>
      <c r="L96" s="68" t="inlineStr">
        <is>
          <t>M05/M06 错题；红色清单</t>
        </is>
      </c>
      <c r="M96" s="68" t="inlineStr">
        <is>
          <t>不做整套题；用品清单已确认</t>
        </is>
      </c>
      <c r="N96" s="66" t="inlineStr">
        <is>
          <t>未开始</t>
        </is>
      </c>
      <c r="O96" s="66" t="n"/>
      <c r="P96" s="66" t="n"/>
      <c r="Q96" s="68" t="n"/>
    </row>
    <row r="97" ht="72" customHeight="1">
      <c r="A97" s="65" t="n">
        <v>46367</v>
      </c>
      <c r="B97" s="66" t="n">
        <v>14</v>
      </c>
      <c r="C97" s="66" t="inlineStr">
        <is>
          <t>周五</t>
        </is>
      </c>
      <c r="D97" s="66" t="inlineStr">
        <is>
          <t>冲刺期</t>
        </is>
      </c>
      <c r="E97" s="67" t="inlineStr">
        <is>
          <t>考前减量</t>
        </is>
      </c>
      <c r="F97" s="67" t="n">
        <v>40</v>
      </c>
      <c r="G97" s="68" t="inlineStr">
        <is>
          <t>[10min] 只看熟悉错词</t>
        </is>
      </c>
      <c r="H97" s="68" t="inlineStr">
        <is>
          <t>[10min] 听 1 段已做过的原速材料</t>
        </is>
      </c>
      <c r="I97" s="68" t="inlineStr"/>
      <c r="J97" s="68" t="inlineStr">
        <is>
          <t>[10min] 看自己的作文骨架与翻译错句</t>
        </is>
      </c>
      <c r="K97" s="68" t="inlineStr">
        <is>
          <t>[10min] 确认时间地点，23:00 前睡</t>
        </is>
      </c>
      <c r="L97" s="68" t="inlineStr">
        <is>
          <t>M05/M06 错题；红色清单</t>
        </is>
      </c>
      <c r="M97" s="68" t="inlineStr">
        <is>
          <t>40 分钟后彻底停止；不估分、不刷陌生题</t>
        </is>
      </c>
      <c r="N97" s="66" t="inlineStr">
        <is>
          <t>未开始</t>
        </is>
      </c>
      <c r="O97" s="66" t="n"/>
      <c r="P97" s="66" t="n"/>
      <c r="Q97" s="68" t="n"/>
    </row>
    <row r="98" ht="48" customHeight="1">
      <c r="A98" s="69" t="n">
        <v>46368</v>
      </c>
      <c r="B98" s="70" t="n">
        <v>14</v>
      </c>
      <c r="C98" s="70" t="inlineStr">
        <is>
          <t>周六</t>
        </is>
      </c>
      <c r="D98" s="70" t="inlineStr">
        <is>
          <t>考试占位</t>
        </is>
      </c>
      <c r="E98" s="71" t="inlineStr">
        <is>
          <t>暂定考试日</t>
        </is>
      </c>
      <c r="F98" s="71" t="n">
        <v>0</v>
      </c>
      <c r="G98" s="72" t="inlineStr"/>
      <c r="H98" s="72" t="inlineStr"/>
      <c r="I98" s="72" t="inlineStr"/>
      <c r="J98" s="72" t="inlineStr"/>
      <c r="K98" s="72" t="inlineStr">
        <is>
          <t>暂按 CET-6 15:00–17:25 预留；正式日期和时段以教育部教育考试院公告/准考证为准。若当天不是考试：把本日改为 M06 复测或轻量全真，并将冲刺周顺延。</t>
        </is>
      </c>
      <c r="L98" s="72" t="inlineStr">
        <is>
          <t>准考证、身份证、2B 铅笔、黑色签字笔、耳机/收音设备（以学校通知为准）</t>
        </is>
      </c>
      <c r="M98" s="72" t="inlineStr">
        <is>
          <t>考试日不安排额外学习；该日期为排程占位，待官方确认</t>
        </is>
      </c>
      <c r="N98" s="70" t="inlineStr">
        <is>
          <t>待确认</t>
        </is>
      </c>
      <c r="O98" s="70" t="n"/>
      <c r="P98" s="70" t="n"/>
      <c r="Q98" s="72" t="n"/>
    </row>
  </sheetData>
  <conditionalFormatting sqref="N2:N98">
    <cfRule type="expression" priority="1" dxfId="0">
      <formula>$N2="已完成"</formula>
    </cfRule>
    <cfRule type="expression" priority="2" dxfId="1">
      <formula>$N2="进行中"</formula>
    </cfRule>
    <cfRule type="expression" priority="3" dxfId="2">
      <formula>OR($N2="跳过",$N2="补做")</formula>
    </cfRule>
  </conditionalFormatting>
  <conditionalFormatting sqref="O2:O98">
    <cfRule type="cellIs" priority="4" operator="greaterThan" dxfId="1">
      <formula>$F2*1.2</formula>
    </cfRule>
  </conditionalFormatting>
  <dataValidations count="3">
    <dataValidation sqref="N2:N98" showDropDown="0" showInputMessage="0" showErrorMessage="0" allowBlank="0" type="list">
      <formula1>"未开始,进行中,已完成,计划休息,跳过,补做,待确认"</formula1>
    </dataValidation>
    <dataValidation sqref="P2:P98" showDropDown="0" showInputMessage="0" showErrorMessage="0" allowBlank="1" type="whole" operator="between">
      <formula1>1</formula1>
      <formula2>5</formula2>
    </dataValidation>
    <dataValidation sqref="O2:O98" showDropDown="0" showInputMessage="0" showErrorMessage="0" allowBlank="1" type="whole" operator="between">
      <formula1>0</formula1>
      <formula2>600</formula2>
    </dataValidation>
  </dataValidations>
  <pageMargins left="0.75" right="0.75" top="1" bottom="1" header="0.5" footer="0.5"/>
  <pageSetup orientation="landscape" paperSize="8" fitToHeight="0" fitToWidth="1"/>
  <headerFooter>
    <oddHeader/>
    <oddFooter>&amp;L&amp;8 &amp;K6670852026 CET-6 425+ 计划&amp;C第 &amp;P / &amp;N 页&amp;RCET-6 计划 v1.0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1" customWidth="1" min="3" max="3"/>
    <col width="15" customWidth="1" min="4" max="4"/>
    <col width="52" customWidth="1" min="5" max="5"/>
    <col width="18" customWidth="1" min="6" max="6"/>
    <col width="42" customWidth="1" min="7" max="7"/>
    <col width="38" customWidth="1" min="8" max="8"/>
  </cols>
  <sheetData>
    <row r="1" ht="34" customHeight="1">
      <c r="A1" s="1" t="inlineStr">
        <is>
          <t>资料清单：少买、用透</t>
        </is>
      </c>
    </row>
    <row r="2" ht="25" customHeight="1">
      <c r="A2" s="2" t="inlineStr">
        <is>
          <t>核心原则：只买一套真题；电子工具各司其职，不同时开多个同类 App。价格为大致区间，以购买时为准。</t>
        </is>
      </c>
    </row>
    <row r="3"/>
    <row r="4" ht="30" customHeight="1">
      <c r="A4" s="4" t="inlineStr">
        <is>
          <t>类别</t>
        </is>
      </c>
      <c r="B4" s="4" t="inlineStr">
        <is>
          <t>资料/工具</t>
        </is>
      </c>
      <c r="C4" s="4" t="inlineStr">
        <is>
          <t>优先级</t>
        </is>
      </c>
      <c r="D4" s="4" t="inlineStr">
        <is>
          <t>预计费用</t>
        </is>
      </c>
      <c r="E4" s="4" t="inlineStr">
        <is>
          <t>怎么用</t>
        </is>
      </c>
      <c r="F4" s="4" t="inlineStr">
        <is>
          <t>频率</t>
        </is>
      </c>
      <c r="G4" s="4" t="inlineStr">
        <is>
          <t>替代/备注</t>
        </is>
      </c>
      <c r="H4" s="4" t="inlineStr">
        <is>
          <t>链接</t>
        </is>
      </c>
    </row>
    <row r="5" ht="58" customHeight="1">
      <c r="A5" s="73" t="inlineStr">
        <is>
          <t>纸质·核心</t>
        </is>
      </c>
      <c r="B5" s="74" t="inlineStr">
        <is>
          <t>最新六级真题详解（首选星火；新东方同类最新版也可，二选一）</t>
        </is>
      </c>
      <c r="C5" s="73" t="inlineStr">
        <is>
          <t>必备</t>
        </is>
      </c>
      <c r="D5" s="73" t="inlineStr">
        <is>
          <t>约 35–60 元</t>
        </is>
      </c>
      <c r="E5" s="73" t="inlineStr">
        <is>
          <t>购买时确认：至少 12 套完整真题、原版音频、听力原文、逐题解析；按 F0/D01–D05/M01–M06 编号</t>
        </is>
      </c>
      <c r="F5" s="73" t="inlineStr">
        <is>
          <t>全程</t>
        </is>
      </c>
      <c r="G5" s="73" t="inlineStr">
        <is>
          <t>不要同时买两套；书名随版本略变，以功能为准</t>
        </is>
      </c>
      <c r="H5" s="73" t="inlineStr"/>
    </row>
    <row r="6" ht="58" customHeight="1">
      <c r="A6" s="75" t="inlineStr">
        <is>
          <t>纸质·可选</t>
        </is>
      </c>
      <c r="B6" s="75" t="inlineStr">
        <is>
          <t>新东方六级词汇乱序版/同类高频词汇书</t>
        </is>
      </c>
      <c r="C6" s="75" t="inlineStr">
        <is>
          <t>可选</t>
        </is>
      </c>
      <c r="D6" s="75" t="inlineStr">
        <is>
          <t>约 30–45 元</t>
        </is>
      </c>
      <c r="E6" s="75" t="inlineStr">
        <is>
          <t>只在不喜欢 App 时使用；每天按时间上限背，不追页码</t>
        </is>
      </c>
      <c r="F6" s="75" t="inlineStr">
        <is>
          <t>每日 20–25min</t>
        </is>
      </c>
      <c r="G6" s="75" t="inlineStr">
        <is>
          <t>已用 App 就不买</t>
        </is>
      </c>
      <c r="H6" s="75" t="inlineStr"/>
    </row>
    <row r="7" ht="58" customHeight="1">
      <c r="A7" s="73" t="inlineStr">
        <is>
          <t>电子·词汇</t>
        </is>
      </c>
      <c r="B7" s="74" t="inlineStr">
        <is>
          <t>不背单词（六级词书）</t>
        </is>
      </c>
      <c r="C7" s="73" t="inlineStr">
        <is>
          <t>必备</t>
        </is>
      </c>
      <c r="D7" s="73" t="inlineStr">
        <is>
          <t>基础功能可免费</t>
        </is>
      </c>
      <c r="E7" s="73" t="inlineStr">
        <is>
          <t>前期新词 35–40 + 到期复习；后期停新词，只复习真题错词</t>
        </is>
      </c>
      <c r="F7" s="73" t="inlineStr">
        <is>
          <t>每日</t>
        </is>
      </c>
      <c r="G7" s="73" t="inlineStr">
        <is>
          <t>墨墨/百词斩可替代，但只能选一个</t>
        </is>
      </c>
      <c r="H7" s="76" t="inlineStr">
        <is>
          <t>https://www.bbdc.cn/</t>
        </is>
      </c>
    </row>
    <row r="8" ht="58" customHeight="1">
      <c r="A8" s="73" t="inlineStr">
        <is>
          <t>电子·真题音频</t>
        </is>
      </c>
      <c r="B8" s="74" t="inlineStr">
        <is>
          <t>所购真题册随书音频/小程序</t>
        </is>
      </c>
      <c r="C8" s="73" t="inlineStr">
        <is>
          <t>必备</t>
        </is>
      </c>
      <c r="D8" s="73" t="inlineStr">
        <is>
          <t>随书</t>
        </is>
      </c>
      <c r="E8" s="73" t="inlineStr">
        <is>
          <t>始终以真题原音为主；下载离线，按句回放</t>
        </is>
      </c>
      <c r="F8" s="73" t="inlineStr">
        <is>
          <t>每周 5–6 次</t>
        </is>
      </c>
      <c r="G8" s="73" t="inlineStr">
        <is>
          <t>音频必须与试卷版本对应</t>
        </is>
      </c>
      <c r="H8" s="73" t="inlineStr"/>
    </row>
    <row r="9" ht="58" customHeight="1">
      <c r="A9" s="77" t="inlineStr">
        <is>
          <t>电子·精听</t>
        </is>
      </c>
      <c r="B9" s="77" t="inlineStr">
        <is>
          <t>每日英语听力</t>
        </is>
      </c>
      <c r="C9" s="77" t="inlineStr">
        <is>
          <t>推荐</t>
        </is>
      </c>
      <c r="D9" s="77" t="inlineStr">
        <is>
          <t>基础功能可免费</t>
        </is>
      </c>
      <c r="E9" s="77" t="inlineStr">
        <is>
          <t>导入/搜索真题音频，使用句子回放、变速和文本对照；不做整篇逐字听写</t>
        </is>
      </c>
      <c r="F9" s="77" t="inlineStr">
        <is>
          <t>每周 4–5 次</t>
        </is>
      </c>
      <c r="G9" s="77" t="inlineStr">
        <is>
          <t>随书播放器若能逐句回放也够用</t>
        </is>
      </c>
      <c r="H9" s="76" t="inlineStr">
        <is>
          <t>https://dict.eudic.net/ting</t>
        </is>
      </c>
    </row>
    <row r="10" ht="58" customHeight="1">
      <c r="A10" s="77" t="inlineStr">
        <is>
          <t>电子·写译批改</t>
        </is>
      </c>
      <c r="B10" s="77" t="inlineStr">
        <is>
          <t>当前使用的 ChatGPT/Codex 或学校批改网</t>
        </is>
      </c>
      <c r="C10" s="77" t="inlineStr">
        <is>
          <t>推荐</t>
        </is>
      </c>
      <c r="D10" s="77" t="inlineStr">
        <is>
          <t>已有服务/校内资源</t>
        </is>
      </c>
      <c r="E10" s="77" t="inlineStr">
        <is>
          <t>先独立限时写，再要求按 CET-6 维度指出 3–5 个问题并给改写理由；禁止直接代写</t>
        </is>
      </c>
      <c r="F10" s="77" t="inlineStr">
        <is>
          <t>每周 1–2 次</t>
        </is>
      </c>
      <c r="G10" s="77" t="inlineStr">
        <is>
          <t>真题范文自查也可</t>
        </is>
      </c>
      <c r="H10" s="77" t="inlineStr"/>
    </row>
    <row r="11" ht="58" customHeight="1">
      <c r="A11" s="73" t="inlineStr">
        <is>
          <t>电子·错题</t>
        </is>
      </c>
      <c r="B11" s="74" t="inlineStr">
        <is>
          <t>本工作簿：错题记录 + 模考记录</t>
        </is>
      </c>
      <c r="C11" s="73" t="inlineStr">
        <is>
          <t>必备</t>
        </is>
      </c>
      <c r="D11" s="73" t="inlineStr">
        <is>
          <t>免费</t>
        </is>
      </c>
      <c r="E11" s="73" t="inlineStr">
        <is>
          <t>只记高价值错题：错因、证据、下次动作、48 小时/7 天复测</t>
        </is>
      </c>
      <c r="F11" s="73" t="inlineStr">
        <is>
          <t>每次训练后</t>
        </is>
      </c>
      <c r="G11" s="73" t="inlineStr">
        <is>
          <t>不另装笔记 App，减少切换</t>
        </is>
      </c>
      <c r="H11" s="73" t="inlineStr"/>
    </row>
    <row r="12" ht="58" customHeight="1">
      <c r="A12" s="75" t="inlineStr">
        <is>
          <t>电子·补充听力</t>
        </is>
      </c>
      <c r="B12" s="75" t="inlineStr">
        <is>
          <t>BBC Learning English · 6 Minute English</t>
        </is>
      </c>
      <c r="C12" s="75" t="inlineStr">
        <is>
          <t>可选</t>
        </is>
      </c>
      <c r="D12" s="75" t="inlineStr">
        <is>
          <t>免费</t>
        </is>
      </c>
      <c r="E12" s="75" t="inlineStr">
        <is>
          <t>只作旅行/轻量日补充；真题完成后再听，不替代真题</t>
        </is>
      </c>
      <c r="F12" s="75" t="inlineStr">
        <is>
          <t>每周≤1 次</t>
        </is>
      </c>
      <c r="G12" s="75" t="inlineStr">
        <is>
          <t>听懂主旨即可，不逐字查词</t>
        </is>
      </c>
      <c r="H12" s="76" t="inlineStr">
        <is>
          <t>https://www.bbc.co.uk/learningenglish/english/features/6-minute-english</t>
        </is>
      </c>
    </row>
    <row r="13" ht="58" customHeight="1">
      <c r="A13" s="73" t="inlineStr">
        <is>
          <t>官方信息</t>
        </is>
      </c>
      <c r="B13" s="74" t="inlineStr">
        <is>
          <t>全国大学英语四六级考试官网/报名网</t>
        </is>
      </c>
      <c r="C13" s="73" t="inlineStr">
        <is>
          <t>必备</t>
        </is>
      </c>
      <c r="D13" s="73" t="inlineStr">
        <is>
          <t>免费</t>
        </is>
      </c>
      <c r="E13" s="73" t="inlineStr">
        <is>
          <t>核对报名、考试日期、准考证与成绩；9 月起每周检查一次学校通知即可</t>
        </is>
      </c>
      <c r="F13" s="73" t="inlineStr">
        <is>
          <t>每周 1 次</t>
        </is>
      </c>
      <c r="G13" s="73" t="inlineStr">
        <is>
          <t>不要以培训机构日历代替官方公告</t>
        </is>
      </c>
      <c r="H13" s="76" t="inlineStr">
        <is>
          <t>https://cet.neea.edu.cn/html1/category/16093/1124-1.htm</t>
        </is>
      </c>
    </row>
    <row r="14" ht="58" customHeight="1">
      <c r="A14" s="73" t="inlineStr">
        <is>
          <t>硬件</t>
        </is>
      </c>
      <c r="B14" s="74" t="inlineStr">
        <is>
          <t>现有耳机/收音设备 + 计时器</t>
        </is>
      </c>
      <c r="C14" s="73" t="inlineStr">
        <is>
          <t>必备</t>
        </is>
      </c>
      <c r="D14" s="73" t="inlineStr">
        <is>
          <t>0 元（已有）</t>
        </is>
      </c>
      <c r="E14" s="73" t="inlineStr">
        <is>
          <t>精听、模考使用同一设备；提前确认学校听力接收方式</t>
        </is>
      </c>
      <c r="F14" s="73" t="inlineStr">
        <is>
          <t>全程</t>
        </is>
      </c>
      <c r="G14" s="73" t="inlineStr">
        <is>
          <t>考试用品以莆田学院通知为准</t>
        </is>
      </c>
      <c r="H14" s="73" t="inlineStr"/>
    </row>
    <row r="15"/>
    <row r="16"/>
    <row r="17" ht="25" customHeight="1">
      <c r="A17" s="15" t="inlineStr">
        <is>
          <t>推荐购买结论</t>
        </is>
      </c>
    </row>
    <row r="18" ht="32" customHeight="1">
      <c r="A18" s="78" t="inlineStr">
        <is>
          <t>性价比方案：纸质只买 1 套最新版六级真题（约 35–60 元）。词汇用不背单词，精听用随书音频 + 每日英语听力，写译用真题范文或现有 AI 做纠错，本工作簿直接承担错题与模考记录。若确实偏爱纸质背词，再加 1 本词汇书；不建议购买阅读、听力、作文三本专项书。</t>
        </is>
      </c>
    </row>
    <row r="19" ht="32" customHeight="1"/>
  </sheetData>
  <mergeCells count="4">
    <mergeCell ref="A18:H19"/>
    <mergeCell ref="A2:H2"/>
    <mergeCell ref="A17:H17"/>
    <mergeCell ref="A1:H1"/>
  </mergeCells>
  <hyperlinks>
    <hyperlink xmlns:r="http://schemas.openxmlformats.org/officeDocument/2006/relationships" ref="H7" r:id="rId1"/>
    <hyperlink xmlns:r="http://schemas.openxmlformats.org/officeDocument/2006/relationships" ref="H9" r:id="rId2"/>
    <hyperlink xmlns:r="http://schemas.openxmlformats.org/officeDocument/2006/relationships" ref="H12" r:id="rId3"/>
    <hyperlink xmlns:r="http://schemas.openxmlformats.org/officeDocument/2006/relationships" ref="H13" r:id="rId4"/>
  </hyperlinks>
  <pageMargins left="0.75" right="0.75" top="1" bottom="1" header="0.5" footer="0.5"/>
  <pageSetup orientation="landscape" fitToHeight="1" fitToWidth="1"/>
  <headerFooter>
    <oddHeader/>
    <oddFooter>&amp;L&amp;8 &amp;K6670852026 CET-6 425+ 计划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28" customWidth="1" min="3" max="3"/>
    <col width="30" customWidth="1" min="4" max="4"/>
    <col width="16" customWidth="1" min="5" max="5"/>
    <col width="17" customWidth="1" min="6" max="6"/>
    <col width="17" customWidth="1" min="7" max="7"/>
    <col width="18" customWidth="1" min="8" max="8"/>
    <col width="38" customWidth="1" min="9" max="9"/>
  </cols>
  <sheetData>
    <row r="1" ht="34" customHeight="1">
      <c r="A1" s="1" t="inlineStr">
        <is>
          <t>真题编号与使用顺序</t>
        </is>
      </c>
    </row>
    <row r="2" ht="25" customHeight="1">
      <c r="A2" s="2" t="inlineStr">
        <is>
          <t>先按用途编号，再把所购版本的实际年份/套次填入。M01–M06 在指定日期前不得看答案。</t>
        </is>
      </c>
    </row>
    <row r="3"/>
    <row r="4" ht="30" customHeight="1">
      <c r="A4" s="4" t="inlineStr">
        <is>
          <t>编号</t>
        </is>
      </c>
      <c r="B4" s="4" t="inlineStr">
        <is>
          <t>用途</t>
        </is>
      </c>
      <c r="C4" s="4" t="inlineStr">
        <is>
          <t>建议选卷</t>
        </is>
      </c>
      <c r="D4" s="4" t="inlineStr">
        <is>
          <t>实际年份/套次（购买后填）</t>
        </is>
      </c>
      <c r="E4" s="4" t="inlineStr">
        <is>
          <t>是否看过答案</t>
        </is>
      </c>
      <c r="F4" s="4" t="inlineStr">
        <is>
          <t>计划日期</t>
        </is>
      </c>
      <c r="G4" s="4" t="inlineStr">
        <is>
          <t>完成日期</t>
        </is>
      </c>
      <c r="H4" s="4" t="inlineStr">
        <is>
          <t>估分/正确率</t>
        </is>
      </c>
      <c r="I4" s="4" t="inlineStr">
        <is>
          <t>备注</t>
        </is>
      </c>
    </row>
    <row r="5" ht="36" customHeight="1">
      <c r="A5" s="79" t="inlineStr">
        <is>
          <t>F0</t>
        </is>
      </c>
      <c r="B5" s="80" t="inlineStr">
        <is>
          <t>完整基线</t>
        </is>
      </c>
      <c r="C5" s="80" t="inlineStr">
        <is>
          <t>最旧且完整的一套</t>
        </is>
      </c>
      <c r="D5" s="80" t="inlineStr"/>
      <c r="E5" s="80" t="inlineStr">
        <is>
          <t>否</t>
        </is>
      </c>
      <c r="F5" s="81" t="n">
        <v>46277</v>
      </c>
      <c r="G5" s="80" t="inlineStr"/>
      <c r="H5" s="80" t="inlineStr"/>
      <c r="I5" s="80" t="inlineStr">
        <is>
          <t>一次完成，保留真实基线</t>
        </is>
      </c>
    </row>
    <row r="6" ht="36" customHeight="1">
      <c r="A6" s="82" t="inlineStr">
        <is>
          <t>D01</t>
        </is>
      </c>
      <c r="B6" s="14" t="inlineStr">
        <is>
          <t>拆分专项</t>
        </is>
      </c>
      <c r="C6" s="14" t="inlineStr">
        <is>
          <t>从旧到新第 2 套</t>
        </is>
      </c>
      <c r="D6" s="14" t="inlineStr"/>
      <c r="E6" s="14" t="inlineStr">
        <is>
          <t>可拆</t>
        </is>
      </c>
      <c r="F6" s="14" t="inlineStr">
        <is>
          <t>按每日计划</t>
        </is>
      </c>
      <c r="G6" s="14" t="inlineStr"/>
      <c r="H6" s="14" t="inlineStr"/>
      <c r="I6" s="14" t="inlineStr">
        <is>
          <t>可分听力/阅读/写译训练</t>
        </is>
      </c>
    </row>
    <row r="7" ht="36" customHeight="1">
      <c r="A7" s="82" t="inlineStr">
        <is>
          <t>D02</t>
        </is>
      </c>
      <c r="B7" s="14" t="inlineStr">
        <is>
          <t>拆分专项</t>
        </is>
      </c>
      <c r="C7" s="14" t="inlineStr">
        <is>
          <t>从旧到新第 3 套</t>
        </is>
      </c>
      <c r="D7" s="14" t="inlineStr"/>
      <c r="E7" s="14" t="inlineStr">
        <is>
          <t>可拆</t>
        </is>
      </c>
      <c r="F7" s="14" t="inlineStr">
        <is>
          <t>按每日计划</t>
        </is>
      </c>
      <c r="G7" s="14" t="inlineStr"/>
      <c r="H7" s="14" t="inlineStr"/>
      <c r="I7" s="14" t="inlineStr">
        <is>
          <t>可分听力/阅读/写译训练</t>
        </is>
      </c>
    </row>
    <row r="8" ht="36" customHeight="1">
      <c r="A8" s="82" t="inlineStr">
        <is>
          <t>D03</t>
        </is>
      </c>
      <c r="B8" s="14" t="inlineStr">
        <is>
          <t>拆分专项</t>
        </is>
      </c>
      <c r="C8" s="14" t="inlineStr">
        <is>
          <t>从旧到新第 4 套</t>
        </is>
      </c>
      <c r="D8" s="14" t="inlineStr"/>
      <c r="E8" s="14" t="inlineStr">
        <is>
          <t>可拆</t>
        </is>
      </c>
      <c r="F8" s="14" t="inlineStr">
        <is>
          <t>按每日计划</t>
        </is>
      </c>
      <c r="G8" s="14" t="inlineStr"/>
      <c r="H8" s="14" t="inlineStr"/>
      <c r="I8" s="14" t="inlineStr">
        <is>
          <t>可分听力/阅读/写译训练</t>
        </is>
      </c>
    </row>
    <row r="9" ht="36" customHeight="1">
      <c r="A9" s="82" t="inlineStr">
        <is>
          <t>D04</t>
        </is>
      </c>
      <c r="B9" s="14" t="inlineStr">
        <is>
          <t>拆分专项</t>
        </is>
      </c>
      <c r="C9" s="14" t="inlineStr">
        <is>
          <t>从旧到新第 5 套</t>
        </is>
      </c>
      <c r="D9" s="14" t="inlineStr"/>
      <c r="E9" s="14" t="inlineStr">
        <is>
          <t>可拆</t>
        </is>
      </c>
      <c r="F9" s="14" t="inlineStr">
        <is>
          <t>按每日计划</t>
        </is>
      </c>
      <c r="G9" s="14" t="inlineStr"/>
      <c r="H9" s="14" t="inlineStr"/>
      <c r="I9" s="14" t="inlineStr">
        <is>
          <t>可分听力/阅读/写译训练</t>
        </is>
      </c>
    </row>
    <row r="10" ht="36" customHeight="1">
      <c r="A10" s="82" t="inlineStr">
        <is>
          <t>D05</t>
        </is>
      </c>
      <c r="B10" s="14" t="inlineStr">
        <is>
          <t>拆分专项</t>
        </is>
      </c>
      <c r="C10" s="14" t="inlineStr">
        <is>
          <t>从旧到新第 6 套</t>
        </is>
      </c>
      <c r="D10" s="14" t="inlineStr"/>
      <c r="E10" s="14" t="inlineStr">
        <is>
          <t>可拆</t>
        </is>
      </c>
      <c r="F10" s="14" t="inlineStr">
        <is>
          <t>按每日计划</t>
        </is>
      </c>
      <c r="G10" s="14" t="inlineStr"/>
      <c r="H10" s="14" t="inlineStr"/>
      <c r="I10" s="14" t="inlineStr">
        <is>
          <t>可分听力/阅读/写译训练</t>
        </is>
      </c>
    </row>
    <row r="11" ht="36" customHeight="1">
      <c r="A11" s="83" t="inlineStr">
        <is>
          <t>M01</t>
        </is>
      </c>
      <c r="B11" s="84" t="inlineStr">
        <is>
          <t>全真模考</t>
        </is>
      </c>
      <c r="C11" s="84" t="inlineStr">
        <is>
          <t>最新六套中从旧到新第 1 套</t>
        </is>
      </c>
      <c r="D11" s="84" t="inlineStr"/>
      <c r="E11" s="84" t="inlineStr">
        <is>
          <t>否</t>
        </is>
      </c>
      <c r="F11" s="85" t="n">
        <v>46326</v>
      </c>
      <c r="G11" s="84" t="inlineStr"/>
      <c r="H11" s="84" t="inlineStr"/>
      <c r="I11" s="84" t="inlineStr">
        <is>
          <t>指定日期前不翻答案/听力原文</t>
        </is>
      </c>
    </row>
    <row r="12" ht="36" customHeight="1">
      <c r="A12" s="83" t="inlineStr">
        <is>
          <t>M02</t>
        </is>
      </c>
      <c r="B12" s="84" t="inlineStr">
        <is>
          <t>全真模考</t>
        </is>
      </c>
      <c r="C12" s="84" t="inlineStr">
        <is>
          <t>最新六套中从旧到新第 2 套</t>
        </is>
      </c>
      <c r="D12" s="84" t="inlineStr"/>
      <c r="E12" s="84" t="inlineStr">
        <is>
          <t>否</t>
        </is>
      </c>
      <c r="F12" s="85" t="n">
        <v>46333</v>
      </c>
      <c r="G12" s="84" t="inlineStr"/>
      <c r="H12" s="84" t="inlineStr"/>
      <c r="I12" s="84" t="inlineStr">
        <is>
          <t>指定日期前不翻答案/听力原文</t>
        </is>
      </c>
    </row>
    <row r="13" ht="36" customHeight="1">
      <c r="A13" s="83" t="inlineStr">
        <is>
          <t>M03</t>
        </is>
      </c>
      <c r="B13" s="84" t="inlineStr">
        <is>
          <t>全真模考</t>
        </is>
      </c>
      <c r="C13" s="84" t="inlineStr">
        <is>
          <t>最新六套中从旧到新第 3 套</t>
        </is>
      </c>
      <c r="D13" s="84" t="inlineStr"/>
      <c r="E13" s="84" t="inlineStr">
        <is>
          <t>否</t>
        </is>
      </c>
      <c r="F13" s="85" t="n">
        <v>46341</v>
      </c>
      <c r="G13" s="84" t="inlineStr"/>
      <c r="H13" s="84" t="inlineStr"/>
      <c r="I13" s="84" t="inlineStr">
        <is>
          <t>指定日期前不翻答案/听力原文</t>
        </is>
      </c>
    </row>
    <row r="14" ht="36" customHeight="1">
      <c r="A14" s="83" t="inlineStr">
        <is>
          <t>M04</t>
        </is>
      </c>
      <c r="B14" s="84" t="inlineStr">
        <is>
          <t>全真模考</t>
        </is>
      </c>
      <c r="C14" s="84" t="inlineStr">
        <is>
          <t>最新六套中从旧到新第 4 套</t>
        </is>
      </c>
      <c r="D14" s="84" t="inlineStr"/>
      <c r="E14" s="84" t="inlineStr">
        <is>
          <t>否</t>
        </is>
      </c>
      <c r="F14" s="85" t="n">
        <v>46347</v>
      </c>
      <c r="G14" s="84" t="inlineStr"/>
      <c r="H14" s="84" t="inlineStr"/>
      <c r="I14" s="84" t="inlineStr">
        <is>
          <t>指定日期前不翻答案/听力原文</t>
        </is>
      </c>
    </row>
    <row r="15" ht="36" customHeight="1">
      <c r="A15" s="83" t="inlineStr">
        <is>
          <t>M05</t>
        </is>
      </c>
      <c r="B15" s="84" t="inlineStr">
        <is>
          <t>全真模考</t>
        </is>
      </c>
      <c r="C15" s="84" t="inlineStr">
        <is>
          <t>最新六套中从旧到新第 5 套</t>
        </is>
      </c>
      <c r="D15" s="84" t="inlineStr"/>
      <c r="E15" s="84" t="inlineStr">
        <is>
          <t>否</t>
        </is>
      </c>
      <c r="F15" s="85" t="n">
        <v>46354</v>
      </c>
      <c r="G15" s="84" t="inlineStr"/>
      <c r="H15" s="84" t="inlineStr"/>
      <c r="I15" s="84" t="inlineStr">
        <is>
          <t>指定日期前不翻答案/听力原文</t>
        </is>
      </c>
    </row>
    <row r="16" ht="36" customHeight="1">
      <c r="A16" s="83" t="inlineStr">
        <is>
          <t>M06</t>
        </is>
      </c>
      <c r="B16" s="84" t="inlineStr">
        <is>
          <t>全真模考</t>
        </is>
      </c>
      <c r="C16" s="84" t="inlineStr">
        <is>
          <t>最新六套中从旧到新第 6 套</t>
        </is>
      </c>
      <c r="D16" s="84" t="inlineStr"/>
      <c r="E16" s="84" t="inlineStr">
        <is>
          <t>否</t>
        </is>
      </c>
      <c r="F16" s="85" t="n">
        <v>46361</v>
      </c>
      <c r="G16" s="84" t="inlineStr"/>
      <c r="H16" s="84" t="inlineStr"/>
      <c r="I16" s="84" t="inlineStr">
        <is>
          <t>指定日期前不翻答案/听力原文</t>
        </is>
      </c>
    </row>
  </sheetData>
  <mergeCells count="2">
    <mergeCell ref="A1:I1"/>
    <mergeCell ref="A2:I2"/>
  </mergeCells>
  <dataValidations count="1">
    <dataValidation sqref="E5:E16" showDropDown="0" showInputMessage="0" showErrorMessage="0" allowBlank="1" type="list">
      <formula1>"否,是,可拆"</formula1>
    </dataValidation>
  </dataValidations>
  <pageMargins left="0.75" right="0.75" top="1" bottom="1" header="0.5" footer="0.5"/>
  <pageSetup orientation="landscape" fitToHeight="1" fitToWidth="1"/>
  <headerFooter>
    <oddHeader/>
    <oddFooter>&amp;L&amp;8 &amp;K6670852026 CET-6 425+ 计划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18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30" customWidth="1" min="4" max="4"/>
    <col width="13" customWidth="1" min="5" max="5"/>
    <col width="13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13" customWidth="1" min="12" max="12"/>
    <col width="32" customWidth="1" min="13" max="13"/>
    <col width="38" customWidth="1" min="14" max="14"/>
    <col width="14" customWidth="1" min="15" max="15"/>
  </cols>
  <sheetData>
    <row r="1" ht="34" customHeight="1">
      <c r="A1" s="1" t="inlineStr">
        <is>
          <t>每周复盘</t>
        </is>
      </c>
    </row>
    <row r="2" ht="25" customHeight="1">
      <c r="A2" s="2" t="inlineStr">
        <is>
          <t>每周日用 15–20 分钟填写。完成率低不等于失败：只找一个最值得调整的变量。</t>
        </is>
      </c>
    </row>
    <row r="3"/>
    <row r="4" ht="30" customHeight="1">
      <c r="A4" s="4" t="inlineStr">
        <is>
          <t>周次</t>
        </is>
      </c>
      <c r="B4" s="4" t="inlineStr">
        <is>
          <t>开始</t>
        </is>
      </c>
      <c r="C4" s="4" t="inlineStr">
        <is>
          <t>结束</t>
        </is>
      </c>
      <c r="D4" s="4" t="inlineStr">
        <is>
          <t>本周主题</t>
        </is>
      </c>
      <c r="E4" s="4" t="inlineStr">
        <is>
          <t>计划(min)</t>
        </is>
      </c>
      <c r="F4" s="4" t="inlineStr">
        <is>
          <t>实际(min)</t>
        </is>
      </c>
      <c r="G4" s="4" t="inlineStr">
        <is>
          <t>计划天数</t>
        </is>
      </c>
      <c r="H4" s="4" t="inlineStr">
        <is>
          <t>完成天数</t>
        </is>
      </c>
      <c r="I4" s="4" t="inlineStr">
        <is>
          <t>完成率</t>
        </is>
      </c>
      <c r="J4" s="4" t="inlineStr">
        <is>
          <t>听力正确/25</t>
        </is>
      </c>
      <c r="K4" s="4" t="inlineStr">
        <is>
          <t>阅读正确/30</t>
        </is>
      </c>
      <c r="L4" s="4" t="inlineStr">
        <is>
          <t>模考估分</t>
        </is>
      </c>
      <c r="M4" s="4" t="inlineStr">
        <is>
          <t>最大问题</t>
        </is>
      </c>
      <c r="N4" s="4" t="inlineStr">
        <is>
          <t>下周唯一调整</t>
        </is>
      </c>
      <c r="O4" s="4" t="inlineStr">
        <is>
          <t>状态</t>
        </is>
      </c>
    </row>
    <row r="5" ht="48" customHeight="1">
      <c r="A5" s="86" t="n">
        <v>1</v>
      </c>
      <c r="B5" s="87" t="n">
        <v>46272</v>
      </c>
      <c r="C5" s="87" t="n">
        <v>46278</v>
      </c>
      <c r="D5" s="86" t="inlineStr">
        <is>
          <t>诊断启动</t>
        </is>
      </c>
      <c r="E5" s="86">
        <f>SUMIFS('每日计划'!$F:$F,'每日计划'!$A:$A,"&gt;="&amp;B5,'每日计划'!$A:$A,"&lt;="&amp;C5)</f>
        <v/>
      </c>
      <c r="F5" s="86">
        <f>SUMIFS('每日计划'!$O:$O,'每日计划'!$A:$A,"&gt;="&amp;B5,'每日计划'!$A:$A,"&lt;="&amp;C5)</f>
        <v/>
      </c>
      <c r="G5" s="86">
        <f>COUNTIFS('每日计划'!$A:$A,"&gt;="&amp;B5,'每日计划'!$A:$A,"&lt;="&amp;C5,'每日计划'!$F:$F,"&gt;0")</f>
        <v/>
      </c>
      <c r="H5" s="86">
        <f>COUNTIFS('每日计划'!$A:$A,"&gt;="&amp;B5,'每日计划'!$A:$A,"&lt;="&amp;C5,'每日计划'!$N:$N,"已完成")</f>
        <v/>
      </c>
      <c r="I5" s="88">
        <f>IFERROR(H5/G5,0)</f>
        <v/>
      </c>
      <c r="J5" s="86" t="n"/>
      <c r="K5" s="86" t="n"/>
      <c r="L5" s="86" t="n"/>
      <c r="M5" s="89" t="n"/>
      <c r="N5" s="89" t="n"/>
      <c r="O5" s="89" t="inlineStr">
        <is>
          <t>未复盘</t>
        </is>
      </c>
    </row>
    <row r="6" ht="48" customHeight="1">
      <c r="A6" s="90" t="n">
        <v>2</v>
      </c>
      <c r="B6" s="91" t="n">
        <v>46279</v>
      </c>
      <c r="C6" s="91" t="n">
        <v>46285</v>
      </c>
      <c r="D6" s="90" t="inlineStr">
        <is>
          <t>基础Ⅰ：长对话 + 仔细阅读</t>
        </is>
      </c>
      <c r="E6" s="90">
        <f>SUMIFS('每日计划'!$F:$F,'每日计划'!$A:$A,"&gt;="&amp;B6,'每日计划'!$A:$A,"&lt;="&amp;C6)</f>
        <v/>
      </c>
      <c r="F6" s="90">
        <f>SUMIFS('每日计划'!$O:$O,'每日计划'!$A:$A,"&gt;="&amp;B6,'每日计划'!$A:$A,"&lt;="&amp;C6)</f>
        <v/>
      </c>
      <c r="G6" s="90">
        <f>COUNTIFS('每日计划'!$A:$A,"&gt;="&amp;B6,'每日计划'!$A:$A,"&lt;="&amp;C6,'每日计划'!$F:$F,"&gt;0")</f>
        <v/>
      </c>
      <c r="H6" s="90">
        <f>COUNTIFS('每日计划'!$A:$A,"&gt;="&amp;B6,'每日计划'!$A:$A,"&lt;="&amp;C6,'每日计划'!$N:$N,"已完成")</f>
        <v/>
      </c>
      <c r="I6" s="92">
        <f>IFERROR(H6/G6,0)</f>
        <v/>
      </c>
      <c r="J6" s="90" t="n"/>
      <c r="K6" s="90" t="n"/>
      <c r="L6" s="90" t="n"/>
      <c r="M6" s="93" t="n"/>
      <c r="N6" s="93" t="n"/>
      <c r="O6" s="93" t="inlineStr">
        <is>
          <t>未复盘</t>
        </is>
      </c>
    </row>
    <row r="7" ht="48" customHeight="1">
      <c r="A7" s="86" t="n">
        <v>3</v>
      </c>
      <c r="B7" s="87" t="n">
        <v>46286</v>
      </c>
      <c r="C7" s="87" t="n">
        <v>46292</v>
      </c>
      <c r="D7" s="86" t="inlineStr">
        <is>
          <t>基础Ⅱ：讲座讲话 + 推断题</t>
        </is>
      </c>
      <c r="E7" s="86">
        <f>SUMIFS('每日计划'!$F:$F,'每日计划'!$A:$A,"&gt;="&amp;B7,'每日计划'!$A:$A,"&lt;="&amp;C7)</f>
        <v/>
      </c>
      <c r="F7" s="86">
        <f>SUMIFS('每日计划'!$O:$O,'每日计划'!$A:$A,"&gt;="&amp;B7,'每日计划'!$A:$A,"&lt;="&amp;C7)</f>
        <v/>
      </c>
      <c r="G7" s="86">
        <f>COUNTIFS('每日计划'!$A:$A,"&gt;="&amp;B7,'每日计划'!$A:$A,"&lt;="&amp;C7,'每日计划'!$F:$F,"&gt;0")</f>
        <v/>
      </c>
      <c r="H7" s="86">
        <f>COUNTIFS('每日计划'!$A:$A,"&gt;="&amp;B7,'每日计划'!$A:$A,"&lt;="&amp;C7,'每日计划'!$N:$N,"已完成")</f>
        <v/>
      </c>
      <c r="I7" s="88">
        <f>IFERROR(H7/G7,0)</f>
        <v/>
      </c>
      <c r="J7" s="86" t="n"/>
      <c r="K7" s="86" t="n"/>
      <c r="L7" s="86" t="n"/>
      <c r="M7" s="89" t="n"/>
      <c r="N7" s="89" t="n"/>
      <c r="O7" s="89" t="inlineStr">
        <is>
          <t>未复盘</t>
        </is>
      </c>
    </row>
    <row r="8" ht="48" customHeight="1">
      <c r="A8" s="90" t="n">
        <v>4</v>
      </c>
      <c r="B8" s="91" t="n">
        <v>46293</v>
      </c>
      <c r="C8" s="91" t="n">
        <v>46299</v>
      </c>
      <c r="D8" s="90" t="inlineStr">
        <is>
          <t>中秋复盘 + 旅行缓冲</t>
        </is>
      </c>
      <c r="E8" s="90">
        <f>SUMIFS('每日计划'!$F:$F,'每日计划'!$A:$A,"&gt;="&amp;B8,'每日计划'!$A:$A,"&lt;="&amp;C8)</f>
        <v/>
      </c>
      <c r="F8" s="90">
        <f>SUMIFS('每日计划'!$O:$O,'每日计划'!$A:$A,"&gt;="&amp;B8,'每日计划'!$A:$A,"&lt;="&amp;C8)</f>
        <v/>
      </c>
      <c r="G8" s="90">
        <f>COUNTIFS('每日计划'!$A:$A,"&gt;="&amp;B8,'每日计划'!$A:$A,"&lt;="&amp;C8,'每日计划'!$F:$F,"&gt;0")</f>
        <v/>
      </c>
      <c r="H8" s="90">
        <f>COUNTIFS('每日计划'!$A:$A,"&gt;="&amp;B8,'每日计划'!$A:$A,"&lt;="&amp;C8,'每日计划'!$N:$N,"已完成")</f>
        <v/>
      </c>
      <c r="I8" s="92">
        <f>IFERROR(H8/G8,0)</f>
        <v/>
      </c>
      <c r="J8" s="90" t="n"/>
      <c r="K8" s="90" t="n"/>
      <c r="L8" s="90" t="n"/>
      <c r="M8" s="93" t="n"/>
      <c r="N8" s="93" t="n"/>
      <c r="O8" s="93" t="inlineStr">
        <is>
          <t>未复盘</t>
        </is>
      </c>
    </row>
    <row r="9" ht="48" customHeight="1">
      <c r="A9" s="86" t="n">
        <v>5</v>
      </c>
      <c r="B9" s="87" t="n">
        <v>46300</v>
      </c>
      <c r="C9" s="87" t="n">
        <v>46306</v>
      </c>
      <c r="D9" s="86" t="inlineStr">
        <is>
          <t>旅行后重启：篇章听力 + 长篇匹配</t>
        </is>
      </c>
      <c r="E9" s="86">
        <f>SUMIFS('每日计划'!$F:$F,'每日计划'!$A:$A,"&gt;="&amp;B9,'每日计划'!$A:$A,"&lt;="&amp;C9)</f>
        <v/>
      </c>
      <c r="F9" s="86">
        <f>SUMIFS('每日计划'!$O:$O,'每日计划'!$A:$A,"&gt;="&amp;B9,'每日计划'!$A:$A,"&lt;="&amp;C9)</f>
        <v/>
      </c>
      <c r="G9" s="86">
        <f>COUNTIFS('每日计划'!$A:$A,"&gt;="&amp;B9,'每日计划'!$A:$A,"&lt;="&amp;C9,'每日计划'!$F:$F,"&gt;0")</f>
        <v/>
      </c>
      <c r="H9" s="86">
        <f>COUNTIFS('每日计划'!$A:$A,"&gt;="&amp;B9,'每日计划'!$A:$A,"&lt;="&amp;C9,'每日计划'!$N:$N,"已完成")</f>
        <v/>
      </c>
      <c r="I9" s="88">
        <f>IFERROR(H9/G9,0)</f>
        <v/>
      </c>
      <c r="J9" s="86" t="n"/>
      <c r="K9" s="86" t="n"/>
      <c r="L9" s="86" t="n"/>
      <c r="M9" s="89" t="n"/>
      <c r="N9" s="89" t="n"/>
      <c r="O9" s="89" t="inlineStr">
        <is>
          <t>未复盘</t>
        </is>
      </c>
    </row>
    <row r="10" ht="48" customHeight="1">
      <c r="A10" s="90" t="n">
        <v>6</v>
      </c>
      <c r="B10" s="91" t="n">
        <v>46307</v>
      </c>
      <c r="C10" s="91" t="n">
        <v>46313</v>
      </c>
      <c r="D10" s="90" t="inlineStr">
        <is>
          <t>强化Ⅰ：整套听力控时</t>
        </is>
      </c>
      <c r="E10" s="90">
        <f>SUMIFS('每日计划'!$F:$F,'每日计划'!$A:$A,"&gt;="&amp;B10,'每日计划'!$A:$A,"&lt;="&amp;C10)</f>
        <v/>
      </c>
      <c r="F10" s="90">
        <f>SUMIFS('每日计划'!$O:$O,'每日计划'!$A:$A,"&gt;="&amp;B10,'每日计划'!$A:$A,"&lt;="&amp;C10)</f>
        <v/>
      </c>
      <c r="G10" s="90">
        <f>COUNTIFS('每日计划'!$A:$A,"&gt;="&amp;B10,'每日计划'!$A:$A,"&lt;="&amp;C10,'每日计划'!$F:$F,"&gt;0")</f>
        <v/>
      </c>
      <c r="H10" s="90">
        <f>COUNTIFS('每日计划'!$A:$A,"&gt;="&amp;B10,'每日计划'!$A:$A,"&lt;="&amp;C10,'每日计划'!$N:$N,"已完成")</f>
        <v/>
      </c>
      <c r="I10" s="92">
        <f>IFERROR(H10/G10,0)</f>
        <v/>
      </c>
      <c r="J10" s="90" t="n"/>
      <c r="K10" s="90" t="n"/>
      <c r="L10" s="90" t="n"/>
      <c r="M10" s="93" t="n"/>
      <c r="N10" s="93" t="n"/>
      <c r="O10" s="93" t="inlineStr">
        <is>
          <t>未复盘</t>
        </is>
      </c>
    </row>
    <row r="11" ht="48" customHeight="1">
      <c r="A11" s="86" t="n">
        <v>7</v>
      </c>
      <c r="B11" s="87" t="n">
        <v>46314</v>
      </c>
      <c r="C11" s="87" t="n">
        <v>46320</v>
      </c>
      <c r="D11" s="86" t="inlineStr">
        <is>
          <t>强化Ⅱ：高权重讲座 + 阅读控时</t>
        </is>
      </c>
      <c r="E11" s="86">
        <f>SUMIFS('每日计划'!$F:$F,'每日计划'!$A:$A,"&gt;="&amp;B11,'每日计划'!$A:$A,"&lt;="&amp;C11)</f>
        <v/>
      </c>
      <c r="F11" s="86">
        <f>SUMIFS('每日计划'!$O:$O,'每日计划'!$A:$A,"&gt;="&amp;B11,'每日计划'!$A:$A,"&lt;="&amp;C11)</f>
        <v/>
      </c>
      <c r="G11" s="86">
        <f>COUNTIFS('每日计划'!$A:$A,"&gt;="&amp;B11,'每日计划'!$A:$A,"&lt;="&amp;C11,'每日计划'!$F:$F,"&gt;0")</f>
        <v/>
      </c>
      <c r="H11" s="86">
        <f>COUNTIFS('每日计划'!$A:$A,"&gt;="&amp;B11,'每日计划'!$A:$A,"&lt;="&amp;C11,'每日计划'!$N:$N,"已完成")</f>
        <v/>
      </c>
      <c r="I11" s="88">
        <f>IFERROR(H11/G11,0)</f>
        <v/>
      </c>
      <c r="J11" s="86" t="n"/>
      <c r="K11" s="86" t="n"/>
      <c r="L11" s="86" t="n"/>
      <c r="M11" s="89" t="n"/>
      <c r="N11" s="89" t="n"/>
      <c r="O11" s="89" t="inlineStr">
        <is>
          <t>未复盘</t>
        </is>
      </c>
    </row>
    <row r="12" ht="48" customHeight="1">
      <c r="A12" s="90" t="n">
        <v>8</v>
      </c>
      <c r="B12" s="91" t="n">
        <v>46321</v>
      </c>
      <c r="C12" s="91" t="n">
        <v>46327</v>
      </c>
      <c r="D12" s="90" t="inlineStr">
        <is>
          <t>强化Ⅲ：四项串联 + 首次全真</t>
        </is>
      </c>
      <c r="E12" s="90">
        <f>SUMIFS('每日计划'!$F:$F,'每日计划'!$A:$A,"&gt;="&amp;B12,'每日计划'!$A:$A,"&lt;="&amp;C12)</f>
        <v/>
      </c>
      <c r="F12" s="90">
        <f>SUMIFS('每日计划'!$O:$O,'每日计划'!$A:$A,"&gt;="&amp;B12,'每日计划'!$A:$A,"&lt;="&amp;C12)</f>
        <v/>
      </c>
      <c r="G12" s="90">
        <f>COUNTIFS('每日计划'!$A:$A,"&gt;="&amp;B12,'每日计划'!$A:$A,"&lt;="&amp;C12,'每日计划'!$F:$F,"&gt;0")</f>
        <v/>
      </c>
      <c r="H12" s="90">
        <f>COUNTIFS('每日计划'!$A:$A,"&gt;="&amp;B12,'每日计划'!$A:$A,"&lt;="&amp;C12,'每日计划'!$N:$N,"已完成")</f>
        <v/>
      </c>
      <c r="I12" s="92">
        <f>IFERROR(H12/G12,0)</f>
        <v/>
      </c>
      <c r="J12" s="90" t="n"/>
      <c r="K12" s="90" t="n"/>
      <c r="L12" s="90" t="n"/>
      <c r="M12" s="93" t="n"/>
      <c r="N12" s="93" t="n"/>
      <c r="O12" s="93" t="inlineStr">
        <is>
          <t>未复盘</t>
        </is>
      </c>
    </row>
    <row r="13" ht="48" customHeight="1">
      <c r="A13" s="86" t="n">
        <v>9</v>
      </c>
      <c r="B13" s="87" t="n">
        <v>46328</v>
      </c>
      <c r="C13" s="87" t="n">
        <v>46334</v>
      </c>
      <c r="D13" s="86" t="inlineStr">
        <is>
          <t>模考Ⅰ：M01 修复 + M02</t>
        </is>
      </c>
      <c r="E13" s="86">
        <f>SUMIFS('每日计划'!$F:$F,'每日计划'!$A:$A,"&gt;="&amp;B13,'每日计划'!$A:$A,"&lt;="&amp;C13)</f>
        <v/>
      </c>
      <c r="F13" s="86">
        <f>SUMIFS('每日计划'!$O:$O,'每日计划'!$A:$A,"&gt;="&amp;B13,'每日计划'!$A:$A,"&lt;="&amp;C13)</f>
        <v/>
      </c>
      <c r="G13" s="86">
        <f>COUNTIFS('每日计划'!$A:$A,"&gt;="&amp;B13,'每日计划'!$A:$A,"&lt;="&amp;C13,'每日计划'!$F:$F,"&gt;0")</f>
        <v/>
      </c>
      <c r="H13" s="86">
        <f>COUNTIFS('每日计划'!$A:$A,"&gt;="&amp;B13,'每日计划'!$A:$A,"&lt;="&amp;C13,'每日计划'!$N:$N,"已完成")</f>
        <v/>
      </c>
      <c r="I13" s="88">
        <f>IFERROR(H13/G13,0)</f>
        <v/>
      </c>
      <c r="J13" s="86" t="n"/>
      <c r="K13" s="86" t="n"/>
      <c r="L13" s="86" t="n"/>
      <c r="M13" s="89" t="n"/>
      <c r="N13" s="89" t="n"/>
      <c r="O13" s="89" t="inlineStr">
        <is>
          <t>未复盘</t>
        </is>
      </c>
    </row>
    <row r="14" ht="48" customHeight="1">
      <c r="A14" s="90" t="n">
        <v>10</v>
      </c>
      <c r="B14" s="91" t="n">
        <v>46335</v>
      </c>
      <c r="C14" s="91" t="n">
        <v>46341</v>
      </c>
      <c r="D14" s="90" t="inlineStr">
        <is>
          <t>模考Ⅱ：运动会减量 + M03</t>
        </is>
      </c>
      <c r="E14" s="90">
        <f>SUMIFS('每日计划'!$F:$F,'每日计划'!$A:$A,"&gt;="&amp;B14,'每日计划'!$A:$A,"&lt;="&amp;C14)</f>
        <v/>
      </c>
      <c r="F14" s="90">
        <f>SUMIFS('每日计划'!$O:$O,'每日计划'!$A:$A,"&gt;="&amp;B14,'每日计划'!$A:$A,"&lt;="&amp;C14)</f>
        <v/>
      </c>
      <c r="G14" s="90">
        <f>COUNTIFS('每日计划'!$A:$A,"&gt;="&amp;B14,'每日计划'!$A:$A,"&lt;="&amp;C14,'每日计划'!$F:$F,"&gt;0")</f>
        <v/>
      </c>
      <c r="H14" s="90">
        <f>COUNTIFS('每日计划'!$A:$A,"&gt;="&amp;B14,'每日计划'!$A:$A,"&lt;="&amp;C14,'每日计划'!$N:$N,"已完成")</f>
        <v/>
      </c>
      <c r="I14" s="92">
        <f>IFERROR(H14/G14,0)</f>
        <v/>
      </c>
      <c r="J14" s="90" t="n"/>
      <c r="K14" s="90" t="n"/>
      <c r="L14" s="90" t="n"/>
      <c r="M14" s="93" t="n"/>
      <c r="N14" s="93" t="n"/>
      <c r="O14" s="93" t="inlineStr">
        <is>
          <t>未复盘</t>
        </is>
      </c>
    </row>
    <row r="15" ht="48" customHeight="1">
      <c r="A15" s="86" t="n">
        <v>11</v>
      </c>
      <c r="B15" s="87" t="n">
        <v>46342</v>
      </c>
      <c r="C15" s="87" t="n">
        <v>46348</v>
      </c>
      <c r="D15" s="86" t="inlineStr">
        <is>
          <t>模考Ⅲ：M03 修复 + M04</t>
        </is>
      </c>
      <c r="E15" s="86">
        <f>SUMIFS('每日计划'!$F:$F,'每日计划'!$A:$A,"&gt;="&amp;B15,'每日计划'!$A:$A,"&lt;="&amp;C15)</f>
        <v/>
      </c>
      <c r="F15" s="86">
        <f>SUMIFS('每日计划'!$O:$O,'每日计划'!$A:$A,"&gt;="&amp;B15,'每日计划'!$A:$A,"&lt;="&amp;C15)</f>
        <v/>
      </c>
      <c r="G15" s="86">
        <f>COUNTIFS('每日计划'!$A:$A,"&gt;="&amp;B15,'每日计划'!$A:$A,"&lt;="&amp;C15,'每日计划'!$F:$F,"&gt;0")</f>
        <v/>
      </c>
      <c r="H15" s="86">
        <f>COUNTIFS('每日计划'!$A:$A,"&gt;="&amp;B15,'每日计划'!$A:$A,"&lt;="&amp;C15,'每日计划'!$N:$N,"已完成")</f>
        <v/>
      </c>
      <c r="I15" s="88">
        <f>IFERROR(H15/G15,0)</f>
        <v/>
      </c>
      <c r="J15" s="86" t="n"/>
      <c r="K15" s="86" t="n"/>
      <c r="L15" s="86" t="n"/>
      <c r="M15" s="89" t="n"/>
      <c r="N15" s="89" t="n"/>
      <c r="O15" s="89" t="inlineStr">
        <is>
          <t>未复盘</t>
        </is>
      </c>
    </row>
    <row r="16" ht="48" customHeight="1">
      <c r="A16" s="90" t="n">
        <v>12</v>
      </c>
      <c r="B16" s="91" t="n">
        <v>46349</v>
      </c>
      <c r="C16" s="91" t="n">
        <v>46355</v>
      </c>
      <c r="D16" s="90" t="inlineStr">
        <is>
          <t>模考Ⅳ：稳定 425 + M05</t>
        </is>
      </c>
      <c r="E16" s="90">
        <f>SUMIFS('每日计划'!$F:$F,'每日计划'!$A:$A,"&gt;="&amp;B16,'每日计划'!$A:$A,"&lt;="&amp;C16)</f>
        <v/>
      </c>
      <c r="F16" s="90">
        <f>SUMIFS('每日计划'!$O:$O,'每日计划'!$A:$A,"&gt;="&amp;B16,'每日计划'!$A:$A,"&lt;="&amp;C16)</f>
        <v/>
      </c>
      <c r="G16" s="90">
        <f>COUNTIFS('每日计划'!$A:$A,"&gt;="&amp;B16,'每日计划'!$A:$A,"&lt;="&amp;C16,'每日计划'!$F:$F,"&gt;0")</f>
        <v/>
      </c>
      <c r="H16" s="90">
        <f>COUNTIFS('每日计划'!$A:$A,"&gt;="&amp;B16,'每日计划'!$A:$A,"&lt;="&amp;C16,'每日计划'!$N:$N,"已完成")</f>
        <v/>
      </c>
      <c r="I16" s="92">
        <f>IFERROR(H16/G16,0)</f>
        <v/>
      </c>
      <c r="J16" s="90" t="n"/>
      <c r="K16" s="90" t="n"/>
      <c r="L16" s="90" t="n"/>
      <c r="M16" s="93" t="n"/>
      <c r="N16" s="93" t="n"/>
      <c r="O16" s="93" t="inlineStr">
        <is>
          <t>未复盘</t>
        </is>
      </c>
    </row>
    <row r="17" ht="48" customHeight="1">
      <c r="A17" s="86" t="n">
        <v>13</v>
      </c>
      <c r="B17" s="87" t="n">
        <v>46356</v>
      </c>
      <c r="C17" s="87" t="n">
        <v>46362</v>
      </c>
      <c r="D17" s="86" t="inlineStr">
        <is>
          <t>冲刺Ⅰ：M05 修复 + M06</t>
        </is>
      </c>
      <c r="E17" s="86">
        <f>SUMIFS('每日计划'!$F:$F,'每日计划'!$A:$A,"&gt;="&amp;B17,'每日计划'!$A:$A,"&lt;="&amp;C17)</f>
        <v/>
      </c>
      <c r="F17" s="86">
        <f>SUMIFS('每日计划'!$O:$O,'每日计划'!$A:$A,"&gt;="&amp;B17,'每日计划'!$A:$A,"&lt;="&amp;C17)</f>
        <v/>
      </c>
      <c r="G17" s="86">
        <f>COUNTIFS('每日计划'!$A:$A,"&gt;="&amp;B17,'每日计划'!$A:$A,"&lt;="&amp;C17,'每日计划'!$F:$F,"&gt;0")</f>
        <v/>
      </c>
      <c r="H17" s="86">
        <f>COUNTIFS('每日计划'!$A:$A,"&gt;="&amp;B17,'每日计划'!$A:$A,"&lt;="&amp;C17,'每日计划'!$N:$N,"已完成")</f>
        <v/>
      </c>
      <c r="I17" s="88">
        <f>IFERROR(H17/G17,0)</f>
        <v/>
      </c>
      <c r="J17" s="86" t="n"/>
      <c r="K17" s="86" t="n"/>
      <c r="L17" s="86" t="n"/>
      <c r="M17" s="89" t="n"/>
      <c r="N17" s="89" t="n"/>
      <c r="O17" s="89" t="inlineStr">
        <is>
          <t>未复盘</t>
        </is>
      </c>
    </row>
    <row r="18" ht="48" customHeight="1">
      <c r="A18" s="90" t="n">
        <v>14</v>
      </c>
      <c r="B18" s="91" t="n">
        <v>46363</v>
      </c>
      <c r="C18" s="91" t="n">
        <v>46368</v>
      </c>
      <c r="D18" s="90" t="inlineStr">
        <is>
          <t>冲刺Ⅱ：封口与减量</t>
        </is>
      </c>
      <c r="E18" s="90">
        <f>SUMIFS('每日计划'!$F:$F,'每日计划'!$A:$A,"&gt;="&amp;B18,'每日计划'!$A:$A,"&lt;="&amp;C18)</f>
        <v/>
      </c>
      <c r="F18" s="90">
        <f>SUMIFS('每日计划'!$O:$O,'每日计划'!$A:$A,"&gt;="&amp;B18,'每日计划'!$A:$A,"&lt;="&amp;C18)</f>
        <v/>
      </c>
      <c r="G18" s="90">
        <f>COUNTIFS('每日计划'!$A:$A,"&gt;="&amp;B18,'每日计划'!$A:$A,"&lt;="&amp;C18,'每日计划'!$F:$F,"&gt;0")</f>
        <v/>
      </c>
      <c r="H18" s="90">
        <f>COUNTIFS('每日计划'!$A:$A,"&gt;="&amp;B18,'每日计划'!$A:$A,"&lt;="&amp;C18,'每日计划'!$N:$N,"已完成")</f>
        <v/>
      </c>
      <c r="I18" s="92">
        <f>IFERROR(H18/G18,0)</f>
        <v/>
      </c>
      <c r="J18" s="90" t="n"/>
      <c r="K18" s="90" t="n"/>
      <c r="L18" s="90" t="n"/>
      <c r="M18" s="93" t="n"/>
      <c r="N18" s="93" t="n"/>
      <c r="O18" s="93" t="inlineStr">
        <is>
          <t>未复盘</t>
        </is>
      </c>
    </row>
  </sheetData>
  <mergeCells count="2">
    <mergeCell ref="A1:O1"/>
    <mergeCell ref="A2:O2"/>
  </mergeCells>
  <conditionalFormatting sqref="I5:I18">
    <cfRule type="cellIs" priority="1" operator="lessThan" dxfId="2">
      <formula>0.7</formula>
    </cfRule>
    <cfRule type="cellIs" priority="2" operator="greaterThanOrEqual" dxfId="0">
      <formula>0.85</formula>
    </cfRule>
  </conditionalFormatting>
  <dataValidations count="4">
    <dataValidation sqref="O5:O18" showDropDown="0" showInputMessage="0" showErrorMessage="0" allowBlank="0" type="list">
      <formula1>"未复盘,已复盘,需降量,需补强"</formula1>
    </dataValidation>
    <dataValidation sqref="J5:J18" showDropDown="0" showInputMessage="0" showErrorMessage="0" allowBlank="1" type="whole" operator="between">
      <formula1>0</formula1>
      <formula2>25</formula2>
    </dataValidation>
    <dataValidation sqref="K5:K18" showDropDown="0" showInputMessage="0" showErrorMessage="0" allowBlank="1" type="whole" operator="between">
      <formula1>0</formula1>
      <formula2>30</formula2>
    </dataValidation>
    <dataValidation sqref="L5:L18" showDropDown="0" showInputMessage="0" showErrorMessage="0" allowBlank="1" type="whole" operator="between">
      <formula1>0</formula1>
      <formula2>710</formula2>
    </dataValidation>
  </dataValidations>
  <pageMargins left="0.75" right="0.75" top="1" bottom="1" header="0.5" footer="0.5"/>
  <pageSetup orientation="landscape" fitToHeight="1" fitToWidth="1"/>
  <headerFooter>
    <oddHeader/>
    <oddFooter>&amp;L&amp;8 &amp;K6670852026 CET-6 425+ 计划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11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  <col width="12" customWidth="1" min="10" max="10"/>
    <col width="34" customWidth="1" min="11" max="11"/>
    <col width="15" customWidth="1" min="12" max="12"/>
    <col width="27" customWidth="1" min="13" max="13"/>
    <col width="30" customWidth="1" min="14" max="14"/>
  </cols>
  <sheetData>
    <row r="1" ht="34" customHeight="1">
      <c r="A1" s="1" t="inlineStr">
        <is>
          <t>模考记录</t>
        </is>
      </c>
    </row>
    <row r="2" ht="25" customHeight="1">
      <c r="A2" s="2" t="inlineStr">
        <is>
          <t>原始正确数与出版社估分都只看趋势。CET 采用常模转换，不做“每题固定多少分”的简单换算。</t>
        </is>
      </c>
    </row>
    <row r="3"/>
    <row r="4" ht="30" customHeight="1">
      <c r="A4" s="4" t="inlineStr">
        <is>
          <t>日期</t>
        </is>
      </c>
      <c r="B4" s="4" t="inlineStr">
        <is>
          <t>试卷</t>
        </is>
      </c>
      <c r="C4" s="4" t="inlineStr">
        <is>
          <t>性质</t>
        </is>
      </c>
      <c r="D4" s="4" t="inlineStr">
        <is>
          <t>写作自评/15</t>
        </is>
      </c>
      <c r="E4" s="4" t="inlineStr">
        <is>
          <t>听力正确/25</t>
        </is>
      </c>
      <c r="F4" s="4" t="inlineStr">
        <is>
          <t>阅读正确/30</t>
        </is>
      </c>
      <c r="G4" s="4" t="inlineStr">
        <is>
          <t>翻译自评/15</t>
        </is>
      </c>
      <c r="H4" s="4" t="inlineStr">
        <is>
          <t>出版社估分</t>
        </is>
      </c>
      <c r="I4" s="4" t="inlineStr">
        <is>
          <t>用时(min)</t>
        </is>
      </c>
      <c r="J4" s="4" t="inlineStr">
        <is>
          <t>是否中断</t>
        </is>
      </c>
      <c r="K4" s="4" t="inlineStr">
        <is>
          <t>最大失分点</t>
        </is>
      </c>
      <c r="L4" s="4" t="inlineStr">
        <is>
          <t>48h复测日期</t>
        </is>
      </c>
      <c r="M4" s="4" t="inlineStr">
        <is>
          <t>阶段目标</t>
        </is>
      </c>
      <c r="N4" s="4" t="inlineStr">
        <is>
          <t>备注</t>
        </is>
      </c>
    </row>
    <row r="5" ht="46" customHeight="1">
      <c r="A5" s="94" t="n">
        <v>46277</v>
      </c>
      <c r="B5" s="95" t="inlineStr">
        <is>
          <t>F0</t>
        </is>
      </c>
      <c r="C5" s="96" t="inlineStr">
        <is>
          <t>基线</t>
        </is>
      </c>
      <c r="D5" s="96" t="n"/>
      <c r="E5" s="96" t="n"/>
      <c r="F5" s="96" t="n"/>
      <c r="G5" s="96" t="n"/>
      <c r="H5" s="96" t="n"/>
      <c r="I5" s="96" t="n"/>
      <c r="J5" s="96" t="inlineStr">
        <is>
          <t>否</t>
        </is>
      </c>
      <c r="K5" s="97" t="n"/>
      <c r="L5" s="98" t="n">
        <v>46279</v>
      </c>
      <c r="M5" s="95" t="inlineStr">
        <is>
          <t>记录真实基线</t>
        </is>
      </c>
      <c r="N5" s="97" t="n"/>
    </row>
    <row r="6" ht="46" customHeight="1">
      <c r="A6" s="99" t="n">
        <v>46326</v>
      </c>
      <c r="B6" s="100" t="inlineStr">
        <is>
          <t>M01</t>
        </is>
      </c>
      <c r="C6" s="101" t="inlineStr">
        <is>
          <t>全真</t>
        </is>
      </c>
      <c r="D6" s="101" t="n"/>
      <c r="E6" s="101" t="n"/>
      <c r="F6" s="101" t="n"/>
      <c r="G6" s="101" t="n"/>
      <c r="H6" s="101" t="n"/>
      <c r="I6" s="101" t="n"/>
      <c r="J6" s="101" t="inlineStr">
        <is>
          <t>否</t>
        </is>
      </c>
      <c r="K6" s="102" t="n"/>
      <c r="L6" s="103" t="n">
        <v>46328</v>
      </c>
      <c r="M6" s="100" t="inlineStr">
        <is>
          <t>≥380</t>
        </is>
      </c>
      <c r="N6" s="102" t="n"/>
    </row>
    <row r="7" ht="46" customHeight="1">
      <c r="A7" s="99" t="n">
        <v>46333</v>
      </c>
      <c r="B7" s="100" t="inlineStr">
        <is>
          <t>M02</t>
        </is>
      </c>
      <c r="C7" s="101" t="inlineStr">
        <is>
          <t>全真</t>
        </is>
      </c>
      <c r="D7" s="101" t="n"/>
      <c r="E7" s="101" t="n"/>
      <c r="F7" s="101" t="n"/>
      <c r="G7" s="101" t="n"/>
      <c r="H7" s="101" t="n"/>
      <c r="I7" s="101" t="n"/>
      <c r="J7" s="101" t="inlineStr">
        <is>
          <t>否</t>
        </is>
      </c>
      <c r="K7" s="102" t="n"/>
      <c r="L7" s="103" t="n">
        <v>46335</v>
      </c>
      <c r="M7" s="100" t="inlineStr">
        <is>
          <t>≈400</t>
        </is>
      </c>
      <c r="N7" s="102" t="n"/>
    </row>
    <row r="8" ht="46" customHeight="1">
      <c r="A8" s="99" t="n">
        <v>46341</v>
      </c>
      <c r="B8" s="100" t="inlineStr">
        <is>
          <t>M03</t>
        </is>
      </c>
      <c r="C8" s="101" t="inlineStr">
        <is>
          <t>全真</t>
        </is>
      </c>
      <c r="D8" s="101" t="n"/>
      <c r="E8" s="101" t="n"/>
      <c r="F8" s="101" t="n"/>
      <c r="G8" s="101" t="n"/>
      <c r="H8" s="101" t="n"/>
      <c r="I8" s="101" t="n"/>
      <c r="J8" s="101" t="inlineStr">
        <is>
          <t>否</t>
        </is>
      </c>
      <c r="K8" s="102" t="n"/>
      <c r="L8" s="103" t="n">
        <v>46343</v>
      </c>
      <c r="M8" s="100" t="inlineStr">
        <is>
          <t>≥415</t>
        </is>
      </c>
      <c r="N8" s="102" t="n"/>
    </row>
    <row r="9" ht="46" customHeight="1">
      <c r="A9" s="99" t="n">
        <v>46347</v>
      </c>
      <c r="B9" s="100" t="inlineStr">
        <is>
          <t>M04</t>
        </is>
      </c>
      <c r="C9" s="101" t="inlineStr">
        <is>
          <t>全真</t>
        </is>
      </c>
      <c r="D9" s="101" t="n"/>
      <c r="E9" s="101" t="n"/>
      <c r="F9" s="101" t="n"/>
      <c r="G9" s="101" t="n"/>
      <c r="H9" s="101" t="n"/>
      <c r="I9" s="101" t="n"/>
      <c r="J9" s="101" t="inlineStr">
        <is>
          <t>否</t>
        </is>
      </c>
      <c r="K9" s="102" t="n"/>
      <c r="L9" s="103" t="n">
        <v>46349</v>
      </c>
      <c r="M9" s="100" t="inlineStr">
        <is>
          <t>≥425</t>
        </is>
      </c>
      <c r="N9" s="102" t="n"/>
    </row>
    <row r="10" ht="46" customHeight="1">
      <c r="A10" s="99" t="n">
        <v>46354</v>
      </c>
      <c r="B10" s="100" t="inlineStr">
        <is>
          <t>M05</t>
        </is>
      </c>
      <c r="C10" s="101" t="inlineStr">
        <is>
          <t>全真</t>
        </is>
      </c>
      <c r="D10" s="101" t="n"/>
      <c r="E10" s="101" t="n"/>
      <c r="F10" s="101" t="n"/>
      <c r="G10" s="101" t="n"/>
      <c r="H10" s="101" t="n"/>
      <c r="I10" s="101" t="n"/>
      <c r="J10" s="101" t="inlineStr">
        <is>
          <t>否</t>
        </is>
      </c>
      <c r="K10" s="102" t="n"/>
      <c r="L10" s="103" t="n">
        <v>46356</v>
      </c>
      <c r="M10" s="100" t="inlineStr">
        <is>
          <t>≥435</t>
        </is>
      </c>
      <c r="N10" s="102" t="n"/>
    </row>
    <row r="11" ht="46" customHeight="1">
      <c r="A11" s="99" t="n">
        <v>46361</v>
      </c>
      <c r="B11" s="100" t="inlineStr">
        <is>
          <t>M06</t>
        </is>
      </c>
      <c r="C11" s="101" t="inlineStr">
        <is>
          <t>全真</t>
        </is>
      </c>
      <c r="D11" s="101" t="n"/>
      <c r="E11" s="101" t="n"/>
      <c r="F11" s="101" t="n"/>
      <c r="G11" s="101" t="n"/>
      <c r="H11" s="101" t="n"/>
      <c r="I11" s="101" t="n"/>
      <c r="J11" s="101" t="inlineStr">
        <is>
          <t>否</t>
        </is>
      </c>
      <c r="K11" s="102" t="n"/>
      <c r="L11" s="103" t="n">
        <v>46363</v>
      </c>
      <c r="M11" s="100" t="inlineStr">
        <is>
          <t>≥450，或近两套均≥425</t>
        </is>
      </c>
      <c r="N11" s="102" t="n"/>
    </row>
  </sheetData>
  <mergeCells count="2">
    <mergeCell ref="A2:N2"/>
    <mergeCell ref="A1:N1"/>
  </mergeCells>
  <conditionalFormatting sqref="H5:H11">
    <cfRule type="cellIs" priority="1" operator="greaterThanOrEqual" dxfId="0">
      <formula>425</formula>
    </cfRule>
    <cfRule type="cellIs" priority="2" operator="lessThan" dxfId="2">
      <formula>400</formula>
    </cfRule>
  </conditionalFormatting>
  <dataValidations count="7">
    <dataValidation sqref="D5:D11" showDropDown="0" showInputMessage="0" showErrorMessage="0" allowBlank="1" type="whole" operator="between">
      <formula1>0</formula1>
      <formula2>15</formula2>
    </dataValidation>
    <dataValidation sqref="E5:E11" showDropDown="0" showInputMessage="0" showErrorMessage="0" allowBlank="1" type="whole" operator="between">
      <formula1>0</formula1>
      <formula2>25</formula2>
    </dataValidation>
    <dataValidation sqref="F5:F11" showDropDown="0" showInputMessage="0" showErrorMessage="0" allowBlank="1" type="whole" operator="between">
      <formula1>0</formula1>
      <formula2>30</formula2>
    </dataValidation>
    <dataValidation sqref="G5:G11" showDropDown="0" showInputMessage="0" showErrorMessage="0" allowBlank="1" type="whole" operator="between">
      <formula1>0</formula1>
      <formula2>15</formula2>
    </dataValidation>
    <dataValidation sqref="H5:H11" showDropDown="0" showInputMessage="0" showErrorMessage="0" allowBlank="1" type="whole" operator="between">
      <formula1>0</formula1>
      <formula2>710</formula2>
    </dataValidation>
    <dataValidation sqref="I5:I11" showDropDown="0" showInputMessage="0" showErrorMessage="0" allowBlank="1" type="whole" operator="between">
      <formula1>0</formula1>
      <formula2>240</formula2>
    </dataValidation>
    <dataValidation sqref="J5:J11" showDropDown="0" showInputMessage="0" showErrorMessage="0" allowBlank="0" type="list">
      <formula1>"否,是"</formula1>
    </dataValidation>
  </dataValidations>
  <pageMargins left="0.75" right="0.75" top="1" bottom="1" header="0.5" footer="0.5"/>
  <pageSetup orientation="landscape" fitToHeight="1" fitToWidth="1"/>
  <headerFooter>
    <oddHeader/>
    <oddFooter>&amp;L&amp;8 &amp;K6670852026 CET-6 425+ 计划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104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1" customWidth="1" min="4" max="4"/>
    <col width="15" customWidth="1" min="5" max="5"/>
    <col width="17" customWidth="1" min="6" max="6"/>
    <col width="17" customWidth="1" min="7" max="7"/>
    <col width="18" customWidth="1" min="8" max="8"/>
    <col width="42" customWidth="1" min="9" max="9"/>
    <col width="38" customWidth="1" min="10" max="10"/>
    <col width="14" customWidth="1" min="11" max="11"/>
    <col width="14" customWidth="1" min="12" max="12"/>
    <col width="14" customWidth="1" min="13" max="13"/>
    <col width="30" customWidth="1" min="14" max="14"/>
  </cols>
  <sheetData>
    <row r="1" ht="34" customHeight="1">
      <c r="A1" s="1" t="inlineStr">
        <is>
          <t>错题记录</t>
        </is>
      </c>
    </row>
    <row r="2" ht="25" customHeight="1">
      <c r="A2" s="2" t="inlineStr">
        <is>
          <t>只记会重复犯、值得复测的题。每条必须写“根因 + 下次动作”，不要抄长解析。</t>
        </is>
      </c>
    </row>
    <row r="3"/>
    <row r="4" ht="30" customHeight="1">
      <c r="A4" s="4" t="inlineStr">
        <is>
          <t>编号</t>
        </is>
      </c>
      <c r="B4" s="4" t="inlineStr">
        <is>
          <t>日期</t>
        </is>
      </c>
      <c r="C4" s="4" t="inlineStr">
        <is>
          <t>来源</t>
        </is>
      </c>
      <c r="D4" s="4" t="inlineStr">
        <is>
          <t>模块</t>
        </is>
      </c>
      <c r="E4" s="4" t="inlineStr">
        <is>
          <t>题型</t>
        </is>
      </c>
      <c r="F4" s="4" t="inlineStr">
        <is>
          <t>我的答案</t>
        </is>
      </c>
      <c r="G4" s="4" t="inlineStr">
        <is>
          <t>正确答案</t>
        </is>
      </c>
      <c r="H4" s="4" t="inlineStr">
        <is>
          <t>根因</t>
        </is>
      </c>
      <c r="I4" s="4" t="inlineStr">
        <is>
          <t>证据/关键句</t>
        </is>
      </c>
      <c r="J4" s="4" t="inlineStr">
        <is>
          <t>下次动作</t>
        </is>
      </c>
      <c r="K4" s="4" t="inlineStr">
        <is>
          <t>48h复测</t>
        </is>
      </c>
      <c r="L4" s="4" t="inlineStr">
        <is>
          <t>7天复测</t>
        </is>
      </c>
      <c r="M4" s="4" t="inlineStr">
        <is>
          <t>掌握状态</t>
        </is>
      </c>
      <c r="N4" s="4" t="inlineStr">
        <is>
          <t>备注</t>
        </is>
      </c>
    </row>
    <row r="5" ht="42" customHeight="1">
      <c r="A5" s="75">
        <f>IF(B5="","",ROW()-4)</f>
        <v/>
      </c>
      <c r="B5" s="75" t="n"/>
      <c r="C5" s="75" t="n"/>
      <c r="D5" s="75" t="n"/>
      <c r="E5" s="75" t="n"/>
      <c r="F5" s="75" t="n"/>
      <c r="G5" s="75" t="n"/>
      <c r="H5" s="75" t="n"/>
      <c r="I5" s="75" t="n"/>
      <c r="J5" s="75" t="n"/>
      <c r="K5" s="75" t="n"/>
      <c r="L5" s="75" t="n"/>
      <c r="M5" s="75" t="n"/>
      <c r="N5" s="75" t="n"/>
    </row>
    <row r="6" ht="42" customHeight="1">
      <c r="A6" s="104">
        <f>IF(B6="","",ROW()-4)</f>
        <v/>
      </c>
      <c r="B6" s="104" t="n"/>
      <c r="C6" s="104" t="n"/>
      <c r="D6" s="104" t="n"/>
      <c r="E6" s="104" t="n"/>
      <c r="F6" s="104" t="n"/>
      <c r="G6" s="104" t="n"/>
      <c r="H6" s="104" t="n"/>
      <c r="I6" s="104" t="n"/>
      <c r="J6" s="104" t="n"/>
      <c r="K6" s="104" t="n"/>
      <c r="L6" s="104" t="n"/>
      <c r="M6" s="104" t="n"/>
      <c r="N6" s="104" t="n"/>
    </row>
    <row r="7" ht="42" customHeight="1">
      <c r="A7" s="75">
        <f>IF(B7="","",ROW()-4)</f>
        <v/>
      </c>
      <c r="B7" s="75" t="n"/>
      <c r="C7" s="75" t="n"/>
      <c r="D7" s="75" t="n"/>
      <c r="E7" s="75" t="n"/>
      <c r="F7" s="75" t="n"/>
      <c r="G7" s="75" t="n"/>
      <c r="H7" s="75" t="n"/>
      <c r="I7" s="75" t="n"/>
      <c r="J7" s="75" t="n"/>
      <c r="K7" s="75" t="n"/>
      <c r="L7" s="75" t="n"/>
      <c r="M7" s="75" t="n"/>
      <c r="N7" s="75" t="n"/>
    </row>
    <row r="8" ht="42" customHeight="1">
      <c r="A8" s="104">
        <f>IF(B8="","",ROW()-4)</f>
        <v/>
      </c>
      <c r="B8" s="104" t="n"/>
      <c r="C8" s="104" t="n"/>
      <c r="D8" s="104" t="n"/>
      <c r="E8" s="104" t="n"/>
      <c r="F8" s="104" t="n"/>
      <c r="G8" s="104" t="n"/>
      <c r="H8" s="104" t="n"/>
      <c r="I8" s="104" t="n"/>
      <c r="J8" s="104" t="n"/>
      <c r="K8" s="104" t="n"/>
      <c r="L8" s="104" t="n"/>
      <c r="M8" s="104" t="n"/>
      <c r="N8" s="104" t="n"/>
    </row>
    <row r="9" ht="42" customHeight="1">
      <c r="A9" s="75">
        <f>IF(B9="","",ROW()-4)</f>
        <v/>
      </c>
      <c r="B9" s="75" t="n"/>
      <c r="C9" s="75" t="n"/>
      <c r="D9" s="75" t="n"/>
      <c r="E9" s="75" t="n"/>
      <c r="F9" s="75" t="n"/>
      <c r="G9" s="75" t="n"/>
      <c r="H9" s="75" t="n"/>
      <c r="I9" s="75" t="n"/>
      <c r="J9" s="75" t="n"/>
      <c r="K9" s="75" t="n"/>
      <c r="L9" s="75" t="n"/>
      <c r="M9" s="75" t="n"/>
      <c r="N9" s="75" t="n"/>
    </row>
    <row r="10" ht="42" customHeight="1">
      <c r="A10" s="104">
        <f>IF(B10="","",ROW()-4)</f>
        <v/>
      </c>
      <c r="B10" s="104" t="n"/>
      <c r="C10" s="104" t="n"/>
      <c r="D10" s="104" t="n"/>
      <c r="E10" s="104" t="n"/>
      <c r="F10" s="104" t="n"/>
      <c r="G10" s="104" t="n"/>
      <c r="H10" s="104" t="n"/>
      <c r="I10" s="104" t="n"/>
      <c r="J10" s="104" t="n"/>
      <c r="K10" s="104" t="n"/>
      <c r="L10" s="104" t="n"/>
      <c r="M10" s="104" t="n"/>
      <c r="N10" s="104" t="n"/>
    </row>
    <row r="11" ht="42" customHeight="1">
      <c r="A11" s="75">
        <f>IF(B11="","",ROW()-4)</f>
        <v/>
      </c>
      <c r="B11" s="75" t="n"/>
      <c r="C11" s="75" t="n"/>
      <c r="D11" s="75" t="n"/>
      <c r="E11" s="75" t="n"/>
      <c r="F11" s="75" t="n"/>
      <c r="G11" s="75" t="n"/>
      <c r="H11" s="75" t="n"/>
      <c r="I11" s="75" t="n"/>
      <c r="J11" s="75" t="n"/>
      <c r="K11" s="75" t="n"/>
      <c r="L11" s="75" t="n"/>
      <c r="M11" s="75" t="n"/>
      <c r="N11" s="75" t="n"/>
    </row>
    <row r="12" ht="42" customHeight="1">
      <c r="A12" s="104">
        <f>IF(B12="","",ROW()-4)</f>
        <v/>
      </c>
      <c r="B12" s="104" t="n"/>
      <c r="C12" s="104" t="n"/>
      <c r="D12" s="104" t="n"/>
      <c r="E12" s="104" t="n"/>
      <c r="F12" s="104" t="n"/>
      <c r="G12" s="104" t="n"/>
      <c r="H12" s="104" t="n"/>
      <c r="I12" s="104" t="n"/>
      <c r="J12" s="104" t="n"/>
      <c r="K12" s="104" t="n"/>
      <c r="L12" s="104" t="n"/>
      <c r="M12" s="104" t="n"/>
      <c r="N12" s="104" t="n"/>
    </row>
    <row r="13" ht="42" customHeight="1">
      <c r="A13" s="75">
        <f>IF(B13="","",ROW()-4)</f>
        <v/>
      </c>
      <c r="B13" s="75" t="n"/>
      <c r="C13" s="75" t="n"/>
      <c r="D13" s="75" t="n"/>
      <c r="E13" s="75" t="n"/>
      <c r="F13" s="75" t="n"/>
      <c r="G13" s="75" t="n"/>
      <c r="H13" s="75" t="n"/>
      <c r="I13" s="75" t="n"/>
      <c r="J13" s="75" t="n"/>
      <c r="K13" s="75" t="n"/>
      <c r="L13" s="75" t="n"/>
      <c r="M13" s="75" t="n"/>
      <c r="N13" s="75" t="n"/>
    </row>
    <row r="14" ht="42" customHeight="1">
      <c r="A14" s="104">
        <f>IF(B14="","",ROW()-4)</f>
        <v/>
      </c>
      <c r="B14" s="104" t="n"/>
      <c r="C14" s="104" t="n"/>
      <c r="D14" s="104" t="n"/>
      <c r="E14" s="104" t="n"/>
      <c r="F14" s="104" t="n"/>
      <c r="G14" s="104" t="n"/>
      <c r="H14" s="104" t="n"/>
      <c r="I14" s="104" t="n"/>
      <c r="J14" s="104" t="n"/>
      <c r="K14" s="104" t="n"/>
      <c r="L14" s="104" t="n"/>
      <c r="M14" s="104" t="n"/>
      <c r="N14" s="104" t="n"/>
    </row>
    <row r="15" ht="42" customHeight="1">
      <c r="A15" s="75">
        <f>IF(B15="","",ROW()-4)</f>
        <v/>
      </c>
      <c r="B15" s="75" t="n"/>
      <c r="C15" s="75" t="n"/>
      <c r="D15" s="75" t="n"/>
      <c r="E15" s="75" t="n"/>
      <c r="F15" s="75" t="n"/>
      <c r="G15" s="75" t="n"/>
      <c r="H15" s="75" t="n"/>
      <c r="I15" s="75" t="n"/>
      <c r="J15" s="75" t="n"/>
      <c r="K15" s="75" t="n"/>
      <c r="L15" s="75" t="n"/>
      <c r="M15" s="75" t="n"/>
      <c r="N15" s="75" t="n"/>
    </row>
    <row r="16" ht="42" customHeight="1">
      <c r="A16" s="104">
        <f>IF(B16="","",ROW()-4)</f>
        <v/>
      </c>
      <c r="B16" s="104" t="n"/>
      <c r="C16" s="104" t="n"/>
      <c r="D16" s="104" t="n"/>
      <c r="E16" s="104" t="n"/>
      <c r="F16" s="104" t="n"/>
      <c r="G16" s="104" t="n"/>
      <c r="H16" s="104" t="n"/>
      <c r="I16" s="104" t="n"/>
      <c r="J16" s="104" t="n"/>
      <c r="K16" s="104" t="n"/>
      <c r="L16" s="104" t="n"/>
      <c r="M16" s="104" t="n"/>
      <c r="N16" s="104" t="n"/>
    </row>
    <row r="17" ht="42" customHeight="1">
      <c r="A17" s="75">
        <f>IF(B17="","",ROW()-4)</f>
        <v/>
      </c>
      <c r="B17" s="75" t="n"/>
      <c r="C17" s="75" t="n"/>
      <c r="D17" s="75" t="n"/>
      <c r="E17" s="75" t="n"/>
      <c r="F17" s="75" t="n"/>
      <c r="G17" s="75" t="n"/>
      <c r="H17" s="75" t="n"/>
      <c r="I17" s="75" t="n"/>
      <c r="J17" s="75" t="n"/>
      <c r="K17" s="75" t="n"/>
      <c r="L17" s="75" t="n"/>
      <c r="M17" s="75" t="n"/>
      <c r="N17" s="75" t="n"/>
    </row>
    <row r="18" ht="42" customHeight="1">
      <c r="A18" s="104">
        <f>IF(B18="","",ROW()-4)</f>
        <v/>
      </c>
      <c r="B18" s="104" t="n"/>
      <c r="C18" s="104" t="n"/>
      <c r="D18" s="104" t="n"/>
      <c r="E18" s="104" t="n"/>
      <c r="F18" s="104" t="n"/>
      <c r="G18" s="104" t="n"/>
      <c r="H18" s="104" t="n"/>
      <c r="I18" s="104" t="n"/>
      <c r="J18" s="104" t="n"/>
      <c r="K18" s="104" t="n"/>
      <c r="L18" s="104" t="n"/>
      <c r="M18" s="104" t="n"/>
      <c r="N18" s="104" t="n"/>
    </row>
    <row r="19" ht="42" customHeight="1">
      <c r="A19" s="75">
        <f>IF(B19="","",ROW()-4)</f>
        <v/>
      </c>
      <c r="B19" s="75" t="n"/>
      <c r="C19" s="75" t="n"/>
      <c r="D19" s="75" t="n"/>
      <c r="E19" s="75" t="n"/>
      <c r="F19" s="75" t="n"/>
      <c r="G19" s="75" t="n"/>
      <c r="H19" s="75" t="n"/>
      <c r="I19" s="75" t="n"/>
      <c r="J19" s="75" t="n"/>
      <c r="K19" s="75" t="n"/>
      <c r="L19" s="75" t="n"/>
      <c r="M19" s="75" t="n"/>
      <c r="N19" s="75" t="n"/>
    </row>
    <row r="20" ht="42" customHeight="1">
      <c r="A20" s="104">
        <f>IF(B20="","",ROW()-4)</f>
        <v/>
      </c>
      <c r="B20" s="104" t="n"/>
      <c r="C20" s="104" t="n"/>
      <c r="D20" s="104" t="n"/>
      <c r="E20" s="104" t="n"/>
      <c r="F20" s="104" t="n"/>
      <c r="G20" s="104" t="n"/>
      <c r="H20" s="104" t="n"/>
      <c r="I20" s="104" t="n"/>
      <c r="J20" s="104" t="n"/>
      <c r="K20" s="104" t="n"/>
      <c r="L20" s="104" t="n"/>
      <c r="M20" s="104" t="n"/>
      <c r="N20" s="104" t="n"/>
    </row>
    <row r="21" ht="42" customHeight="1">
      <c r="A21" s="75">
        <f>IF(B21="","",ROW()-4)</f>
        <v/>
      </c>
      <c r="B21" s="75" t="n"/>
      <c r="C21" s="75" t="n"/>
      <c r="D21" s="75" t="n"/>
      <c r="E21" s="75" t="n"/>
      <c r="F21" s="75" t="n"/>
      <c r="G21" s="75" t="n"/>
      <c r="H21" s="75" t="n"/>
      <c r="I21" s="75" t="n"/>
      <c r="J21" s="75" t="n"/>
      <c r="K21" s="75" t="n"/>
      <c r="L21" s="75" t="n"/>
      <c r="M21" s="75" t="n"/>
      <c r="N21" s="75" t="n"/>
    </row>
    <row r="22" ht="42" customHeight="1">
      <c r="A22" s="104">
        <f>IF(B22="","",ROW()-4)</f>
        <v/>
      </c>
      <c r="B22" s="104" t="n"/>
      <c r="C22" s="104" t="n"/>
      <c r="D22" s="104" t="n"/>
      <c r="E22" s="104" t="n"/>
      <c r="F22" s="104" t="n"/>
      <c r="G22" s="104" t="n"/>
      <c r="H22" s="104" t="n"/>
      <c r="I22" s="104" t="n"/>
      <c r="J22" s="104" t="n"/>
      <c r="K22" s="104" t="n"/>
      <c r="L22" s="104" t="n"/>
      <c r="M22" s="104" t="n"/>
      <c r="N22" s="104" t="n"/>
    </row>
    <row r="23" ht="42" customHeight="1">
      <c r="A23" s="75">
        <f>IF(B23="","",ROW()-4)</f>
        <v/>
      </c>
      <c r="B23" s="75" t="n"/>
      <c r="C23" s="75" t="n"/>
      <c r="D23" s="75" t="n"/>
      <c r="E23" s="75" t="n"/>
      <c r="F23" s="75" t="n"/>
      <c r="G23" s="75" t="n"/>
      <c r="H23" s="75" t="n"/>
      <c r="I23" s="75" t="n"/>
      <c r="J23" s="75" t="n"/>
      <c r="K23" s="75" t="n"/>
      <c r="L23" s="75" t="n"/>
      <c r="M23" s="75" t="n"/>
      <c r="N23" s="75" t="n"/>
    </row>
    <row r="24" ht="42" customHeight="1">
      <c r="A24" s="104">
        <f>IF(B24="","",ROW()-4)</f>
        <v/>
      </c>
      <c r="B24" s="104" t="n"/>
      <c r="C24" s="104" t="n"/>
      <c r="D24" s="104" t="n"/>
      <c r="E24" s="104" t="n"/>
      <c r="F24" s="104" t="n"/>
      <c r="G24" s="104" t="n"/>
      <c r="H24" s="104" t="n"/>
      <c r="I24" s="104" t="n"/>
      <c r="J24" s="104" t="n"/>
      <c r="K24" s="104" t="n"/>
      <c r="L24" s="104" t="n"/>
      <c r="M24" s="104" t="n"/>
      <c r="N24" s="104" t="n"/>
    </row>
    <row r="25" ht="42" customHeight="1">
      <c r="A25" s="75">
        <f>IF(B25="","",ROW()-4)</f>
        <v/>
      </c>
      <c r="B25" s="75" t="n"/>
      <c r="C25" s="75" t="n"/>
      <c r="D25" s="75" t="n"/>
      <c r="E25" s="75" t="n"/>
      <c r="F25" s="75" t="n"/>
      <c r="G25" s="75" t="n"/>
      <c r="H25" s="75" t="n"/>
      <c r="I25" s="75" t="n"/>
      <c r="J25" s="75" t="n"/>
      <c r="K25" s="75" t="n"/>
      <c r="L25" s="75" t="n"/>
      <c r="M25" s="75" t="n"/>
      <c r="N25" s="75" t="n"/>
    </row>
    <row r="26" ht="42" customHeight="1">
      <c r="A26" s="104">
        <f>IF(B26="","",ROW()-4)</f>
        <v/>
      </c>
      <c r="B26" s="104" t="n"/>
      <c r="C26" s="104" t="n"/>
      <c r="D26" s="104" t="n"/>
      <c r="E26" s="104" t="n"/>
      <c r="F26" s="104" t="n"/>
      <c r="G26" s="104" t="n"/>
      <c r="H26" s="104" t="n"/>
      <c r="I26" s="104" t="n"/>
      <c r="J26" s="104" t="n"/>
      <c r="K26" s="104" t="n"/>
      <c r="L26" s="104" t="n"/>
      <c r="M26" s="104" t="n"/>
      <c r="N26" s="104" t="n"/>
    </row>
    <row r="27" ht="42" customHeight="1">
      <c r="A27" s="75">
        <f>IF(B27="","",ROW()-4)</f>
        <v/>
      </c>
      <c r="B27" s="75" t="n"/>
      <c r="C27" s="75" t="n"/>
      <c r="D27" s="75" t="n"/>
      <c r="E27" s="75" t="n"/>
      <c r="F27" s="75" t="n"/>
      <c r="G27" s="75" t="n"/>
      <c r="H27" s="75" t="n"/>
      <c r="I27" s="75" t="n"/>
      <c r="J27" s="75" t="n"/>
      <c r="K27" s="75" t="n"/>
      <c r="L27" s="75" t="n"/>
      <c r="M27" s="75" t="n"/>
      <c r="N27" s="75" t="n"/>
    </row>
    <row r="28" ht="42" customHeight="1">
      <c r="A28" s="104">
        <f>IF(B28="","",ROW()-4)</f>
        <v/>
      </c>
      <c r="B28" s="104" t="n"/>
      <c r="C28" s="104" t="n"/>
      <c r="D28" s="104" t="n"/>
      <c r="E28" s="104" t="n"/>
      <c r="F28" s="104" t="n"/>
      <c r="G28" s="104" t="n"/>
      <c r="H28" s="104" t="n"/>
      <c r="I28" s="104" t="n"/>
      <c r="J28" s="104" t="n"/>
      <c r="K28" s="104" t="n"/>
      <c r="L28" s="104" t="n"/>
      <c r="M28" s="104" t="n"/>
      <c r="N28" s="104" t="n"/>
    </row>
    <row r="29" ht="42" customHeight="1">
      <c r="A29" s="75">
        <f>IF(B29="","",ROW()-4)</f>
        <v/>
      </c>
      <c r="B29" s="75" t="n"/>
      <c r="C29" s="75" t="n"/>
      <c r="D29" s="75" t="n"/>
      <c r="E29" s="75" t="n"/>
      <c r="F29" s="75" t="n"/>
      <c r="G29" s="75" t="n"/>
      <c r="H29" s="75" t="n"/>
      <c r="I29" s="75" t="n"/>
      <c r="J29" s="75" t="n"/>
      <c r="K29" s="75" t="n"/>
      <c r="L29" s="75" t="n"/>
      <c r="M29" s="75" t="n"/>
      <c r="N29" s="75" t="n"/>
    </row>
    <row r="30" ht="42" customHeight="1">
      <c r="A30" s="104">
        <f>IF(B30="","",ROW()-4)</f>
        <v/>
      </c>
      <c r="B30" s="104" t="n"/>
      <c r="C30" s="104" t="n"/>
      <c r="D30" s="104" t="n"/>
      <c r="E30" s="104" t="n"/>
      <c r="F30" s="104" t="n"/>
      <c r="G30" s="104" t="n"/>
      <c r="H30" s="104" t="n"/>
      <c r="I30" s="104" t="n"/>
      <c r="J30" s="104" t="n"/>
      <c r="K30" s="104" t="n"/>
      <c r="L30" s="104" t="n"/>
      <c r="M30" s="104" t="n"/>
      <c r="N30" s="104" t="n"/>
    </row>
    <row r="31" ht="42" customHeight="1">
      <c r="A31" s="75">
        <f>IF(B31="","",ROW()-4)</f>
        <v/>
      </c>
      <c r="B31" s="75" t="n"/>
      <c r="C31" s="75" t="n"/>
      <c r="D31" s="75" t="n"/>
      <c r="E31" s="75" t="n"/>
      <c r="F31" s="75" t="n"/>
      <c r="G31" s="75" t="n"/>
      <c r="H31" s="75" t="n"/>
      <c r="I31" s="75" t="n"/>
      <c r="J31" s="75" t="n"/>
      <c r="K31" s="75" t="n"/>
      <c r="L31" s="75" t="n"/>
      <c r="M31" s="75" t="n"/>
      <c r="N31" s="75" t="n"/>
    </row>
    <row r="32" ht="42" customHeight="1">
      <c r="A32" s="104">
        <f>IF(B32="","",ROW()-4)</f>
        <v/>
      </c>
      <c r="B32" s="104" t="n"/>
      <c r="C32" s="104" t="n"/>
      <c r="D32" s="104" t="n"/>
      <c r="E32" s="104" t="n"/>
      <c r="F32" s="104" t="n"/>
      <c r="G32" s="104" t="n"/>
      <c r="H32" s="104" t="n"/>
      <c r="I32" s="104" t="n"/>
      <c r="J32" s="104" t="n"/>
      <c r="K32" s="104" t="n"/>
      <c r="L32" s="104" t="n"/>
      <c r="M32" s="104" t="n"/>
      <c r="N32" s="104" t="n"/>
    </row>
    <row r="33" ht="42" customHeight="1">
      <c r="A33" s="75">
        <f>IF(B33="","",ROW()-4)</f>
        <v/>
      </c>
      <c r="B33" s="75" t="n"/>
      <c r="C33" s="75" t="n"/>
      <c r="D33" s="75" t="n"/>
      <c r="E33" s="75" t="n"/>
      <c r="F33" s="75" t="n"/>
      <c r="G33" s="75" t="n"/>
      <c r="H33" s="75" t="n"/>
      <c r="I33" s="75" t="n"/>
      <c r="J33" s="75" t="n"/>
      <c r="K33" s="75" t="n"/>
      <c r="L33" s="75" t="n"/>
      <c r="M33" s="75" t="n"/>
      <c r="N33" s="75" t="n"/>
    </row>
    <row r="34" ht="42" customHeight="1">
      <c r="A34" s="104">
        <f>IF(B34="","",ROW()-4)</f>
        <v/>
      </c>
      <c r="B34" s="104" t="n"/>
      <c r="C34" s="104" t="n"/>
      <c r="D34" s="104" t="n"/>
      <c r="E34" s="104" t="n"/>
      <c r="F34" s="104" t="n"/>
      <c r="G34" s="104" t="n"/>
      <c r="H34" s="104" t="n"/>
      <c r="I34" s="104" t="n"/>
      <c r="J34" s="104" t="n"/>
      <c r="K34" s="104" t="n"/>
      <c r="L34" s="104" t="n"/>
      <c r="M34" s="104" t="n"/>
      <c r="N34" s="104" t="n"/>
    </row>
    <row r="35" ht="42" customHeight="1">
      <c r="A35" s="75">
        <f>IF(B35="","",ROW()-4)</f>
        <v/>
      </c>
      <c r="B35" s="75" t="n"/>
      <c r="C35" s="75" t="n"/>
      <c r="D35" s="75" t="n"/>
      <c r="E35" s="75" t="n"/>
      <c r="F35" s="75" t="n"/>
      <c r="G35" s="75" t="n"/>
      <c r="H35" s="75" t="n"/>
      <c r="I35" s="75" t="n"/>
      <c r="J35" s="75" t="n"/>
      <c r="K35" s="75" t="n"/>
      <c r="L35" s="75" t="n"/>
      <c r="M35" s="75" t="n"/>
      <c r="N35" s="75" t="n"/>
    </row>
    <row r="36" ht="42" customHeight="1">
      <c r="A36" s="104">
        <f>IF(B36="","",ROW()-4)</f>
        <v/>
      </c>
      <c r="B36" s="104" t="n"/>
      <c r="C36" s="104" t="n"/>
      <c r="D36" s="104" t="n"/>
      <c r="E36" s="104" t="n"/>
      <c r="F36" s="104" t="n"/>
      <c r="G36" s="104" t="n"/>
      <c r="H36" s="104" t="n"/>
      <c r="I36" s="104" t="n"/>
      <c r="J36" s="104" t="n"/>
      <c r="K36" s="104" t="n"/>
      <c r="L36" s="104" t="n"/>
      <c r="M36" s="104" t="n"/>
      <c r="N36" s="104" t="n"/>
    </row>
    <row r="37" ht="42" customHeight="1">
      <c r="A37" s="75">
        <f>IF(B37="","",ROW()-4)</f>
        <v/>
      </c>
      <c r="B37" s="75" t="n"/>
      <c r="C37" s="75" t="n"/>
      <c r="D37" s="75" t="n"/>
      <c r="E37" s="75" t="n"/>
      <c r="F37" s="75" t="n"/>
      <c r="G37" s="75" t="n"/>
      <c r="H37" s="75" t="n"/>
      <c r="I37" s="75" t="n"/>
      <c r="J37" s="75" t="n"/>
      <c r="K37" s="75" t="n"/>
      <c r="L37" s="75" t="n"/>
      <c r="M37" s="75" t="n"/>
      <c r="N37" s="75" t="n"/>
    </row>
    <row r="38" ht="42" customHeight="1">
      <c r="A38" s="104">
        <f>IF(B38="","",ROW()-4)</f>
        <v/>
      </c>
      <c r="B38" s="104" t="n"/>
      <c r="C38" s="104" t="n"/>
      <c r="D38" s="104" t="n"/>
      <c r="E38" s="104" t="n"/>
      <c r="F38" s="104" t="n"/>
      <c r="G38" s="104" t="n"/>
      <c r="H38" s="104" t="n"/>
      <c r="I38" s="104" t="n"/>
      <c r="J38" s="104" t="n"/>
      <c r="K38" s="104" t="n"/>
      <c r="L38" s="104" t="n"/>
      <c r="M38" s="104" t="n"/>
      <c r="N38" s="104" t="n"/>
    </row>
    <row r="39" ht="42" customHeight="1">
      <c r="A39" s="75">
        <f>IF(B39="","",ROW()-4)</f>
        <v/>
      </c>
      <c r="B39" s="75" t="n"/>
      <c r="C39" s="75" t="n"/>
      <c r="D39" s="75" t="n"/>
      <c r="E39" s="75" t="n"/>
      <c r="F39" s="75" t="n"/>
      <c r="G39" s="75" t="n"/>
      <c r="H39" s="75" t="n"/>
      <c r="I39" s="75" t="n"/>
      <c r="J39" s="75" t="n"/>
      <c r="K39" s="75" t="n"/>
      <c r="L39" s="75" t="n"/>
      <c r="M39" s="75" t="n"/>
      <c r="N39" s="75" t="n"/>
    </row>
    <row r="40" ht="42" customHeight="1">
      <c r="A40" s="104">
        <f>IF(B40="","",ROW()-4)</f>
        <v/>
      </c>
      <c r="B40" s="104" t="n"/>
      <c r="C40" s="104" t="n"/>
      <c r="D40" s="104" t="n"/>
      <c r="E40" s="104" t="n"/>
      <c r="F40" s="104" t="n"/>
      <c r="G40" s="104" t="n"/>
      <c r="H40" s="104" t="n"/>
      <c r="I40" s="104" t="n"/>
      <c r="J40" s="104" t="n"/>
      <c r="K40" s="104" t="n"/>
      <c r="L40" s="104" t="n"/>
      <c r="M40" s="104" t="n"/>
      <c r="N40" s="104" t="n"/>
    </row>
    <row r="41" ht="42" customHeight="1">
      <c r="A41" s="75">
        <f>IF(B41="","",ROW()-4)</f>
        <v/>
      </c>
      <c r="B41" s="75" t="n"/>
      <c r="C41" s="75" t="n"/>
      <c r="D41" s="75" t="n"/>
      <c r="E41" s="75" t="n"/>
      <c r="F41" s="75" t="n"/>
      <c r="G41" s="75" t="n"/>
      <c r="H41" s="75" t="n"/>
      <c r="I41" s="75" t="n"/>
      <c r="J41" s="75" t="n"/>
      <c r="K41" s="75" t="n"/>
      <c r="L41" s="75" t="n"/>
      <c r="M41" s="75" t="n"/>
      <c r="N41" s="75" t="n"/>
    </row>
    <row r="42" ht="42" customHeight="1">
      <c r="A42" s="104">
        <f>IF(B42="","",ROW()-4)</f>
        <v/>
      </c>
      <c r="B42" s="104" t="n"/>
      <c r="C42" s="104" t="n"/>
      <c r="D42" s="104" t="n"/>
      <c r="E42" s="104" t="n"/>
      <c r="F42" s="104" t="n"/>
      <c r="G42" s="104" t="n"/>
      <c r="H42" s="104" t="n"/>
      <c r="I42" s="104" t="n"/>
      <c r="J42" s="104" t="n"/>
      <c r="K42" s="104" t="n"/>
      <c r="L42" s="104" t="n"/>
      <c r="M42" s="104" t="n"/>
      <c r="N42" s="104" t="n"/>
    </row>
    <row r="43" ht="42" customHeight="1">
      <c r="A43" s="75">
        <f>IF(B43="","",ROW()-4)</f>
        <v/>
      </c>
      <c r="B43" s="75" t="n"/>
      <c r="C43" s="75" t="n"/>
      <c r="D43" s="75" t="n"/>
      <c r="E43" s="75" t="n"/>
      <c r="F43" s="75" t="n"/>
      <c r="G43" s="75" t="n"/>
      <c r="H43" s="75" t="n"/>
      <c r="I43" s="75" t="n"/>
      <c r="J43" s="75" t="n"/>
      <c r="K43" s="75" t="n"/>
      <c r="L43" s="75" t="n"/>
      <c r="M43" s="75" t="n"/>
      <c r="N43" s="75" t="n"/>
    </row>
    <row r="44" ht="42" customHeight="1">
      <c r="A44" s="104">
        <f>IF(B44="","",ROW()-4)</f>
        <v/>
      </c>
      <c r="B44" s="104" t="n"/>
      <c r="C44" s="104" t="n"/>
      <c r="D44" s="104" t="n"/>
      <c r="E44" s="104" t="n"/>
      <c r="F44" s="104" t="n"/>
      <c r="G44" s="104" t="n"/>
      <c r="H44" s="104" t="n"/>
      <c r="I44" s="104" t="n"/>
      <c r="J44" s="104" t="n"/>
      <c r="K44" s="104" t="n"/>
      <c r="L44" s="104" t="n"/>
      <c r="M44" s="104" t="n"/>
      <c r="N44" s="104" t="n"/>
    </row>
    <row r="45" ht="42" customHeight="1">
      <c r="A45" s="75">
        <f>IF(B45="","",ROW()-4)</f>
        <v/>
      </c>
      <c r="B45" s="75" t="n"/>
      <c r="C45" s="75" t="n"/>
      <c r="D45" s="75" t="n"/>
      <c r="E45" s="75" t="n"/>
      <c r="F45" s="75" t="n"/>
      <c r="G45" s="75" t="n"/>
      <c r="H45" s="75" t="n"/>
      <c r="I45" s="75" t="n"/>
      <c r="J45" s="75" t="n"/>
      <c r="K45" s="75" t="n"/>
      <c r="L45" s="75" t="n"/>
      <c r="M45" s="75" t="n"/>
      <c r="N45" s="75" t="n"/>
    </row>
    <row r="46" ht="42" customHeight="1">
      <c r="A46" s="104">
        <f>IF(B46="","",ROW()-4)</f>
        <v/>
      </c>
      <c r="B46" s="104" t="n"/>
      <c r="C46" s="104" t="n"/>
      <c r="D46" s="104" t="n"/>
      <c r="E46" s="104" t="n"/>
      <c r="F46" s="104" t="n"/>
      <c r="G46" s="104" t="n"/>
      <c r="H46" s="104" t="n"/>
      <c r="I46" s="104" t="n"/>
      <c r="J46" s="104" t="n"/>
      <c r="K46" s="104" t="n"/>
      <c r="L46" s="104" t="n"/>
      <c r="M46" s="104" t="n"/>
      <c r="N46" s="104" t="n"/>
    </row>
    <row r="47" ht="42" customHeight="1">
      <c r="A47" s="75">
        <f>IF(B47="","",ROW()-4)</f>
        <v/>
      </c>
      <c r="B47" s="75" t="n"/>
      <c r="C47" s="75" t="n"/>
      <c r="D47" s="75" t="n"/>
      <c r="E47" s="75" t="n"/>
      <c r="F47" s="75" t="n"/>
      <c r="G47" s="75" t="n"/>
      <c r="H47" s="75" t="n"/>
      <c r="I47" s="75" t="n"/>
      <c r="J47" s="75" t="n"/>
      <c r="K47" s="75" t="n"/>
      <c r="L47" s="75" t="n"/>
      <c r="M47" s="75" t="n"/>
      <c r="N47" s="75" t="n"/>
    </row>
    <row r="48" ht="42" customHeight="1">
      <c r="A48" s="104">
        <f>IF(B48="","",ROW()-4)</f>
        <v/>
      </c>
      <c r="B48" s="104" t="n"/>
      <c r="C48" s="104" t="n"/>
      <c r="D48" s="104" t="n"/>
      <c r="E48" s="104" t="n"/>
      <c r="F48" s="104" t="n"/>
      <c r="G48" s="104" t="n"/>
      <c r="H48" s="104" t="n"/>
      <c r="I48" s="104" t="n"/>
      <c r="J48" s="104" t="n"/>
      <c r="K48" s="104" t="n"/>
      <c r="L48" s="104" t="n"/>
      <c r="M48" s="104" t="n"/>
      <c r="N48" s="104" t="n"/>
    </row>
    <row r="49" ht="42" customHeight="1">
      <c r="A49" s="75">
        <f>IF(B49="","",ROW()-4)</f>
        <v/>
      </c>
      <c r="B49" s="75" t="n"/>
      <c r="C49" s="75" t="n"/>
      <c r="D49" s="75" t="n"/>
      <c r="E49" s="75" t="n"/>
      <c r="F49" s="75" t="n"/>
      <c r="G49" s="75" t="n"/>
      <c r="H49" s="75" t="n"/>
      <c r="I49" s="75" t="n"/>
      <c r="J49" s="75" t="n"/>
      <c r="K49" s="75" t="n"/>
      <c r="L49" s="75" t="n"/>
      <c r="M49" s="75" t="n"/>
      <c r="N49" s="75" t="n"/>
    </row>
    <row r="50" ht="42" customHeight="1">
      <c r="A50" s="104">
        <f>IF(B50="","",ROW()-4)</f>
        <v/>
      </c>
      <c r="B50" s="104" t="n"/>
      <c r="C50" s="104" t="n"/>
      <c r="D50" s="104" t="n"/>
      <c r="E50" s="104" t="n"/>
      <c r="F50" s="104" t="n"/>
      <c r="G50" s="104" t="n"/>
      <c r="H50" s="104" t="n"/>
      <c r="I50" s="104" t="n"/>
      <c r="J50" s="104" t="n"/>
      <c r="K50" s="104" t="n"/>
      <c r="L50" s="104" t="n"/>
      <c r="M50" s="104" t="n"/>
      <c r="N50" s="104" t="n"/>
    </row>
    <row r="51" ht="42" customHeight="1">
      <c r="A51" s="75">
        <f>IF(B51="","",ROW()-4)</f>
        <v/>
      </c>
      <c r="B51" s="75" t="n"/>
      <c r="C51" s="75" t="n"/>
      <c r="D51" s="75" t="n"/>
      <c r="E51" s="75" t="n"/>
      <c r="F51" s="75" t="n"/>
      <c r="G51" s="75" t="n"/>
      <c r="H51" s="75" t="n"/>
      <c r="I51" s="75" t="n"/>
      <c r="J51" s="75" t="n"/>
      <c r="K51" s="75" t="n"/>
      <c r="L51" s="75" t="n"/>
      <c r="M51" s="75" t="n"/>
      <c r="N51" s="75" t="n"/>
    </row>
    <row r="52" ht="42" customHeight="1">
      <c r="A52" s="104">
        <f>IF(B52="","",ROW()-4)</f>
        <v/>
      </c>
      <c r="B52" s="104" t="n"/>
      <c r="C52" s="104" t="n"/>
      <c r="D52" s="104" t="n"/>
      <c r="E52" s="104" t="n"/>
      <c r="F52" s="104" t="n"/>
      <c r="G52" s="104" t="n"/>
      <c r="H52" s="104" t="n"/>
      <c r="I52" s="104" t="n"/>
      <c r="J52" s="104" t="n"/>
      <c r="K52" s="104" t="n"/>
      <c r="L52" s="104" t="n"/>
      <c r="M52" s="104" t="n"/>
      <c r="N52" s="104" t="n"/>
    </row>
    <row r="53" ht="42" customHeight="1">
      <c r="A53" s="75">
        <f>IF(B53="","",ROW()-4)</f>
        <v/>
      </c>
      <c r="B53" s="75" t="n"/>
      <c r="C53" s="75" t="n"/>
      <c r="D53" s="75" t="n"/>
      <c r="E53" s="75" t="n"/>
      <c r="F53" s="75" t="n"/>
      <c r="G53" s="75" t="n"/>
      <c r="H53" s="75" t="n"/>
      <c r="I53" s="75" t="n"/>
      <c r="J53" s="75" t="n"/>
      <c r="K53" s="75" t="n"/>
      <c r="L53" s="75" t="n"/>
      <c r="M53" s="75" t="n"/>
      <c r="N53" s="75" t="n"/>
    </row>
    <row r="54" ht="42" customHeight="1">
      <c r="A54" s="104">
        <f>IF(B54="","",ROW()-4)</f>
        <v/>
      </c>
      <c r="B54" s="104" t="n"/>
      <c r="C54" s="104" t="n"/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  <c r="N54" s="104" t="n"/>
    </row>
    <row r="55" ht="42" customHeight="1">
      <c r="A55" s="75">
        <f>IF(B55="","",ROW()-4)</f>
        <v/>
      </c>
      <c r="B55" s="75" t="n"/>
      <c r="C55" s="75" t="n"/>
      <c r="D55" s="75" t="n"/>
      <c r="E55" s="75" t="n"/>
      <c r="F55" s="75" t="n"/>
      <c r="G55" s="75" t="n"/>
      <c r="H55" s="75" t="n"/>
      <c r="I55" s="75" t="n"/>
      <c r="J55" s="75" t="n"/>
      <c r="K55" s="75" t="n"/>
      <c r="L55" s="75" t="n"/>
      <c r="M55" s="75" t="n"/>
      <c r="N55" s="75" t="n"/>
    </row>
    <row r="56" ht="42" customHeight="1">
      <c r="A56" s="104">
        <f>IF(B56="","",ROW()-4)</f>
        <v/>
      </c>
      <c r="B56" s="104" t="n"/>
      <c r="C56" s="104" t="n"/>
      <c r="D56" s="104" t="n"/>
      <c r="E56" s="104" t="n"/>
      <c r="F56" s="104" t="n"/>
      <c r="G56" s="104" t="n"/>
      <c r="H56" s="104" t="n"/>
      <c r="I56" s="104" t="n"/>
      <c r="J56" s="104" t="n"/>
      <c r="K56" s="104" t="n"/>
      <c r="L56" s="104" t="n"/>
      <c r="M56" s="104" t="n"/>
      <c r="N56" s="104" t="n"/>
    </row>
    <row r="57" ht="42" customHeight="1">
      <c r="A57" s="75">
        <f>IF(B57="","",ROW()-4)</f>
        <v/>
      </c>
      <c r="B57" s="75" t="n"/>
      <c r="C57" s="75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75" t="n"/>
      <c r="N57" s="75" t="n"/>
    </row>
    <row r="58" ht="42" customHeight="1">
      <c r="A58" s="104">
        <f>IF(B58="","",ROW()-4)</f>
        <v/>
      </c>
      <c r="B58" s="104" t="n"/>
      <c r="C58" s="104" t="n"/>
      <c r="D58" s="104" t="n"/>
      <c r="E58" s="104" t="n"/>
      <c r="F58" s="104" t="n"/>
      <c r="G58" s="104" t="n"/>
      <c r="H58" s="104" t="n"/>
      <c r="I58" s="104" t="n"/>
      <c r="J58" s="104" t="n"/>
      <c r="K58" s="104" t="n"/>
      <c r="L58" s="104" t="n"/>
      <c r="M58" s="104" t="n"/>
      <c r="N58" s="104" t="n"/>
    </row>
    <row r="59" ht="42" customHeight="1">
      <c r="A59" s="75">
        <f>IF(B59="","",ROW()-4)</f>
        <v/>
      </c>
      <c r="B59" s="75" t="n"/>
      <c r="C59" s="75" t="n"/>
      <c r="D59" s="75" t="n"/>
      <c r="E59" s="75" t="n"/>
      <c r="F59" s="75" t="n"/>
      <c r="G59" s="75" t="n"/>
      <c r="H59" s="75" t="n"/>
      <c r="I59" s="75" t="n"/>
      <c r="J59" s="75" t="n"/>
      <c r="K59" s="75" t="n"/>
      <c r="L59" s="75" t="n"/>
      <c r="M59" s="75" t="n"/>
      <c r="N59" s="75" t="n"/>
    </row>
    <row r="60" ht="42" customHeight="1">
      <c r="A60" s="104">
        <f>IF(B60="","",ROW()-4)</f>
        <v/>
      </c>
      <c r="B60" s="104" t="n"/>
      <c r="C60" s="104" t="n"/>
      <c r="D60" s="104" t="n"/>
      <c r="E60" s="104" t="n"/>
      <c r="F60" s="104" t="n"/>
      <c r="G60" s="104" t="n"/>
      <c r="H60" s="104" t="n"/>
      <c r="I60" s="104" t="n"/>
      <c r="J60" s="104" t="n"/>
      <c r="K60" s="104" t="n"/>
      <c r="L60" s="104" t="n"/>
      <c r="M60" s="104" t="n"/>
      <c r="N60" s="104" t="n"/>
    </row>
    <row r="61" ht="42" customHeight="1">
      <c r="A61" s="75">
        <f>IF(B61="","",ROW()-4)</f>
        <v/>
      </c>
      <c r="B61" s="75" t="n"/>
      <c r="C61" s="75" t="n"/>
      <c r="D61" s="75" t="n"/>
      <c r="E61" s="75" t="n"/>
      <c r="F61" s="75" t="n"/>
      <c r="G61" s="75" t="n"/>
      <c r="H61" s="75" t="n"/>
      <c r="I61" s="75" t="n"/>
      <c r="J61" s="75" t="n"/>
      <c r="K61" s="75" t="n"/>
      <c r="L61" s="75" t="n"/>
      <c r="M61" s="75" t="n"/>
      <c r="N61" s="75" t="n"/>
    </row>
    <row r="62" ht="42" customHeight="1">
      <c r="A62" s="104">
        <f>IF(B62="","",ROW()-4)</f>
        <v/>
      </c>
      <c r="B62" s="104" t="n"/>
      <c r="C62" s="104" t="n"/>
      <c r="D62" s="104" t="n"/>
      <c r="E62" s="104" t="n"/>
      <c r="F62" s="104" t="n"/>
      <c r="G62" s="104" t="n"/>
      <c r="H62" s="104" t="n"/>
      <c r="I62" s="104" t="n"/>
      <c r="J62" s="104" t="n"/>
      <c r="K62" s="104" t="n"/>
      <c r="L62" s="104" t="n"/>
      <c r="M62" s="104" t="n"/>
      <c r="N62" s="104" t="n"/>
    </row>
    <row r="63" ht="42" customHeight="1">
      <c r="A63" s="75">
        <f>IF(B63="","",ROW()-4)</f>
        <v/>
      </c>
      <c r="B63" s="75" t="n"/>
      <c r="C63" s="75" t="n"/>
      <c r="D63" s="75" t="n"/>
      <c r="E63" s="75" t="n"/>
      <c r="F63" s="75" t="n"/>
      <c r="G63" s="75" t="n"/>
      <c r="H63" s="75" t="n"/>
      <c r="I63" s="75" t="n"/>
      <c r="J63" s="75" t="n"/>
      <c r="K63" s="75" t="n"/>
      <c r="L63" s="75" t="n"/>
      <c r="M63" s="75" t="n"/>
      <c r="N63" s="75" t="n"/>
    </row>
    <row r="64" ht="42" customHeight="1">
      <c r="A64" s="104">
        <f>IF(B64="","",ROW()-4)</f>
        <v/>
      </c>
      <c r="B64" s="104" t="n"/>
      <c r="C64" s="104" t="n"/>
      <c r="D64" s="104" t="n"/>
      <c r="E64" s="104" t="n"/>
      <c r="F64" s="104" t="n"/>
      <c r="G64" s="104" t="n"/>
      <c r="H64" s="104" t="n"/>
      <c r="I64" s="104" t="n"/>
      <c r="J64" s="104" t="n"/>
      <c r="K64" s="104" t="n"/>
      <c r="L64" s="104" t="n"/>
      <c r="M64" s="104" t="n"/>
      <c r="N64" s="104" t="n"/>
    </row>
    <row r="65" ht="42" customHeight="1">
      <c r="A65" s="75">
        <f>IF(B65="","",ROW()-4)</f>
        <v/>
      </c>
      <c r="B65" s="75" t="n"/>
      <c r="C65" s="75" t="n"/>
      <c r="D65" s="75" t="n"/>
      <c r="E65" s="75" t="n"/>
      <c r="F65" s="75" t="n"/>
      <c r="G65" s="75" t="n"/>
      <c r="H65" s="75" t="n"/>
      <c r="I65" s="75" t="n"/>
      <c r="J65" s="75" t="n"/>
      <c r="K65" s="75" t="n"/>
      <c r="L65" s="75" t="n"/>
      <c r="M65" s="75" t="n"/>
      <c r="N65" s="75" t="n"/>
    </row>
    <row r="66" ht="42" customHeight="1">
      <c r="A66" s="104">
        <f>IF(B66="","",ROW()-4)</f>
        <v/>
      </c>
      <c r="B66" s="104" t="n"/>
      <c r="C66" s="104" t="n"/>
      <c r="D66" s="104" t="n"/>
      <c r="E66" s="104" t="n"/>
      <c r="F66" s="104" t="n"/>
      <c r="G66" s="104" t="n"/>
      <c r="H66" s="104" t="n"/>
      <c r="I66" s="104" t="n"/>
      <c r="J66" s="104" t="n"/>
      <c r="K66" s="104" t="n"/>
      <c r="L66" s="104" t="n"/>
      <c r="M66" s="104" t="n"/>
      <c r="N66" s="104" t="n"/>
    </row>
    <row r="67" ht="42" customHeight="1">
      <c r="A67" s="75">
        <f>IF(B67="","",ROW()-4)</f>
        <v/>
      </c>
      <c r="B67" s="75" t="n"/>
      <c r="C67" s="75" t="n"/>
      <c r="D67" s="75" t="n"/>
      <c r="E67" s="75" t="n"/>
      <c r="F67" s="75" t="n"/>
      <c r="G67" s="75" t="n"/>
      <c r="H67" s="75" t="n"/>
      <c r="I67" s="75" t="n"/>
      <c r="J67" s="75" t="n"/>
      <c r="K67" s="75" t="n"/>
      <c r="L67" s="75" t="n"/>
      <c r="M67" s="75" t="n"/>
      <c r="N67" s="75" t="n"/>
    </row>
    <row r="68" ht="42" customHeight="1">
      <c r="A68" s="104">
        <f>IF(B68="","",ROW()-4)</f>
        <v/>
      </c>
      <c r="B68" s="104" t="n"/>
      <c r="C68" s="104" t="n"/>
      <c r="D68" s="104" t="n"/>
      <c r="E68" s="104" t="n"/>
      <c r="F68" s="104" t="n"/>
      <c r="G68" s="104" t="n"/>
      <c r="H68" s="104" t="n"/>
      <c r="I68" s="104" t="n"/>
      <c r="J68" s="104" t="n"/>
      <c r="K68" s="104" t="n"/>
      <c r="L68" s="104" t="n"/>
      <c r="M68" s="104" t="n"/>
      <c r="N68" s="104" t="n"/>
    </row>
    <row r="69" ht="42" customHeight="1">
      <c r="A69" s="75">
        <f>IF(B69="","",ROW()-4)</f>
        <v/>
      </c>
      <c r="B69" s="75" t="n"/>
      <c r="C69" s="75" t="n"/>
      <c r="D69" s="75" t="n"/>
      <c r="E69" s="75" t="n"/>
      <c r="F69" s="75" t="n"/>
      <c r="G69" s="75" t="n"/>
      <c r="H69" s="75" t="n"/>
      <c r="I69" s="75" t="n"/>
      <c r="J69" s="75" t="n"/>
      <c r="K69" s="75" t="n"/>
      <c r="L69" s="75" t="n"/>
      <c r="M69" s="75" t="n"/>
      <c r="N69" s="75" t="n"/>
    </row>
    <row r="70" ht="42" customHeight="1">
      <c r="A70" s="104">
        <f>IF(B70="","",ROW()-4)</f>
        <v/>
      </c>
      <c r="B70" s="104" t="n"/>
      <c r="C70" s="104" t="n"/>
      <c r="D70" s="104" t="n"/>
      <c r="E70" s="104" t="n"/>
      <c r="F70" s="104" t="n"/>
      <c r="G70" s="104" t="n"/>
      <c r="H70" s="104" t="n"/>
      <c r="I70" s="104" t="n"/>
      <c r="J70" s="104" t="n"/>
      <c r="K70" s="104" t="n"/>
      <c r="L70" s="104" t="n"/>
      <c r="M70" s="104" t="n"/>
      <c r="N70" s="104" t="n"/>
    </row>
    <row r="71" ht="42" customHeight="1">
      <c r="A71" s="75">
        <f>IF(B71="","",ROW()-4)</f>
        <v/>
      </c>
      <c r="B71" s="75" t="n"/>
      <c r="C71" s="75" t="n"/>
      <c r="D71" s="75" t="n"/>
      <c r="E71" s="75" t="n"/>
      <c r="F71" s="75" t="n"/>
      <c r="G71" s="75" t="n"/>
      <c r="H71" s="75" t="n"/>
      <c r="I71" s="75" t="n"/>
      <c r="J71" s="75" t="n"/>
      <c r="K71" s="75" t="n"/>
      <c r="L71" s="75" t="n"/>
      <c r="M71" s="75" t="n"/>
      <c r="N71" s="75" t="n"/>
    </row>
    <row r="72" ht="42" customHeight="1">
      <c r="A72" s="104">
        <f>IF(B72="","",ROW()-4)</f>
        <v/>
      </c>
      <c r="B72" s="104" t="n"/>
      <c r="C72" s="104" t="n"/>
      <c r="D72" s="104" t="n"/>
      <c r="E72" s="104" t="n"/>
      <c r="F72" s="104" t="n"/>
      <c r="G72" s="104" t="n"/>
      <c r="H72" s="104" t="n"/>
      <c r="I72" s="104" t="n"/>
      <c r="J72" s="104" t="n"/>
      <c r="K72" s="104" t="n"/>
      <c r="L72" s="104" t="n"/>
      <c r="M72" s="104" t="n"/>
      <c r="N72" s="104" t="n"/>
    </row>
    <row r="73" ht="42" customHeight="1">
      <c r="A73" s="75">
        <f>IF(B73="","",ROW()-4)</f>
        <v/>
      </c>
      <c r="B73" s="75" t="n"/>
      <c r="C73" s="75" t="n"/>
      <c r="D73" s="75" t="n"/>
      <c r="E73" s="75" t="n"/>
      <c r="F73" s="75" t="n"/>
      <c r="G73" s="75" t="n"/>
      <c r="H73" s="75" t="n"/>
      <c r="I73" s="75" t="n"/>
      <c r="J73" s="75" t="n"/>
      <c r="K73" s="75" t="n"/>
      <c r="L73" s="75" t="n"/>
      <c r="M73" s="75" t="n"/>
      <c r="N73" s="75" t="n"/>
    </row>
    <row r="74" ht="42" customHeight="1">
      <c r="A74" s="104">
        <f>IF(B74="","",ROW()-4)</f>
        <v/>
      </c>
      <c r="B74" s="104" t="n"/>
      <c r="C74" s="104" t="n"/>
      <c r="D74" s="104" t="n"/>
      <c r="E74" s="104" t="n"/>
      <c r="F74" s="104" t="n"/>
      <c r="G74" s="104" t="n"/>
      <c r="H74" s="104" t="n"/>
      <c r="I74" s="104" t="n"/>
      <c r="J74" s="104" t="n"/>
      <c r="K74" s="104" t="n"/>
      <c r="L74" s="104" t="n"/>
      <c r="M74" s="104" t="n"/>
      <c r="N74" s="104" t="n"/>
    </row>
    <row r="75" ht="42" customHeight="1">
      <c r="A75" s="75">
        <f>IF(B75="","",ROW()-4)</f>
        <v/>
      </c>
      <c r="B75" s="75" t="n"/>
      <c r="C75" s="75" t="n"/>
      <c r="D75" s="75" t="n"/>
      <c r="E75" s="75" t="n"/>
      <c r="F75" s="75" t="n"/>
      <c r="G75" s="75" t="n"/>
      <c r="H75" s="75" t="n"/>
      <c r="I75" s="75" t="n"/>
      <c r="J75" s="75" t="n"/>
      <c r="K75" s="75" t="n"/>
      <c r="L75" s="75" t="n"/>
      <c r="M75" s="75" t="n"/>
      <c r="N75" s="75" t="n"/>
    </row>
    <row r="76" ht="42" customHeight="1">
      <c r="A76" s="104">
        <f>IF(B76="","",ROW()-4)</f>
        <v/>
      </c>
      <c r="B76" s="104" t="n"/>
      <c r="C76" s="104" t="n"/>
      <c r="D76" s="104" t="n"/>
      <c r="E76" s="104" t="n"/>
      <c r="F76" s="104" t="n"/>
      <c r="G76" s="104" t="n"/>
      <c r="H76" s="104" t="n"/>
      <c r="I76" s="104" t="n"/>
      <c r="J76" s="104" t="n"/>
      <c r="K76" s="104" t="n"/>
      <c r="L76" s="104" t="n"/>
      <c r="M76" s="104" t="n"/>
      <c r="N76" s="104" t="n"/>
    </row>
    <row r="77" ht="42" customHeight="1">
      <c r="A77" s="75">
        <f>IF(B77="","",ROW()-4)</f>
        <v/>
      </c>
      <c r="B77" s="75" t="n"/>
      <c r="C77" s="75" t="n"/>
      <c r="D77" s="75" t="n"/>
      <c r="E77" s="75" t="n"/>
      <c r="F77" s="75" t="n"/>
      <c r="G77" s="75" t="n"/>
      <c r="H77" s="75" t="n"/>
      <c r="I77" s="75" t="n"/>
      <c r="J77" s="75" t="n"/>
      <c r="K77" s="75" t="n"/>
      <c r="L77" s="75" t="n"/>
      <c r="M77" s="75" t="n"/>
      <c r="N77" s="75" t="n"/>
    </row>
    <row r="78" ht="42" customHeight="1">
      <c r="A78" s="104">
        <f>IF(B78="","",ROW()-4)</f>
        <v/>
      </c>
      <c r="B78" s="104" t="n"/>
      <c r="C78" s="104" t="n"/>
      <c r="D78" s="104" t="n"/>
      <c r="E78" s="104" t="n"/>
      <c r="F78" s="104" t="n"/>
      <c r="G78" s="104" t="n"/>
      <c r="H78" s="104" t="n"/>
      <c r="I78" s="104" t="n"/>
      <c r="J78" s="104" t="n"/>
      <c r="K78" s="104" t="n"/>
      <c r="L78" s="104" t="n"/>
      <c r="M78" s="104" t="n"/>
      <c r="N78" s="104" t="n"/>
    </row>
    <row r="79" ht="42" customHeight="1">
      <c r="A79" s="75">
        <f>IF(B79="","",ROW()-4)</f>
        <v/>
      </c>
      <c r="B79" s="75" t="n"/>
      <c r="C79" s="75" t="n"/>
      <c r="D79" s="75" t="n"/>
      <c r="E79" s="75" t="n"/>
      <c r="F79" s="75" t="n"/>
      <c r="G79" s="75" t="n"/>
      <c r="H79" s="75" t="n"/>
      <c r="I79" s="75" t="n"/>
      <c r="J79" s="75" t="n"/>
      <c r="K79" s="75" t="n"/>
      <c r="L79" s="75" t="n"/>
      <c r="M79" s="75" t="n"/>
      <c r="N79" s="75" t="n"/>
    </row>
    <row r="80" ht="42" customHeight="1">
      <c r="A80" s="104">
        <f>IF(B80="","",ROW()-4)</f>
        <v/>
      </c>
      <c r="B80" s="104" t="n"/>
      <c r="C80" s="104" t="n"/>
      <c r="D80" s="104" t="n"/>
      <c r="E80" s="104" t="n"/>
      <c r="F80" s="104" t="n"/>
      <c r="G80" s="104" t="n"/>
      <c r="H80" s="104" t="n"/>
      <c r="I80" s="104" t="n"/>
      <c r="J80" s="104" t="n"/>
      <c r="K80" s="104" t="n"/>
      <c r="L80" s="104" t="n"/>
      <c r="M80" s="104" t="n"/>
      <c r="N80" s="104" t="n"/>
    </row>
    <row r="81" ht="42" customHeight="1">
      <c r="A81" s="75">
        <f>IF(B81="","",ROW()-4)</f>
        <v/>
      </c>
      <c r="B81" s="75" t="n"/>
      <c r="C81" s="75" t="n"/>
      <c r="D81" s="75" t="n"/>
      <c r="E81" s="75" t="n"/>
      <c r="F81" s="75" t="n"/>
      <c r="G81" s="75" t="n"/>
      <c r="H81" s="75" t="n"/>
      <c r="I81" s="75" t="n"/>
      <c r="J81" s="75" t="n"/>
      <c r="K81" s="75" t="n"/>
      <c r="L81" s="75" t="n"/>
      <c r="M81" s="75" t="n"/>
      <c r="N81" s="75" t="n"/>
    </row>
    <row r="82" ht="42" customHeight="1">
      <c r="A82" s="104">
        <f>IF(B82="","",ROW()-4)</f>
        <v/>
      </c>
      <c r="B82" s="104" t="n"/>
      <c r="C82" s="104" t="n"/>
      <c r="D82" s="104" t="n"/>
      <c r="E82" s="104" t="n"/>
      <c r="F82" s="104" t="n"/>
      <c r="G82" s="104" t="n"/>
      <c r="H82" s="104" t="n"/>
      <c r="I82" s="104" t="n"/>
      <c r="J82" s="104" t="n"/>
      <c r="K82" s="104" t="n"/>
      <c r="L82" s="104" t="n"/>
      <c r="M82" s="104" t="n"/>
      <c r="N82" s="104" t="n"/>
    </row>
    <row r="83" ht="42" customHeight="1">
      <c r="A83" s="75">
        <f>IF(B83="","",ROW()-4)</f>
        <v/>
      </c>
      <c r="B83" s="75" t="n"/>
      <c r="C83" s="75" t="n"/>
      <c r="D83" s="75" t="n"/>
      <c r="E83" s="75" t="n"/>
      <c r="F83" s="75" t="n"/>
      <c r="G83" s="75" t="n"/>
      <c r="H83" s="75" t="n"/>
      <c r="I83" s="75" t="n"/>
      <c r="J83" s="75" t="n"/>
      <c r="K83" s="75" t="n"/>
      <c r="L83" s="75" t="n"/>
      <c r="M83" s="75" t="n"/>
      <c r="N83" s="75" t="n"/>
    </row>
    <row r="84" ht="42" customHeight="1">
      <c r="A84" s="104">
        <f>IF(B84="","",ROW()-4)</f>
        <v/>
      </c>
      <c r="B84" s="104" t="n"/>
      <c r="C84" s="104" t="n"/>
      <c r="D84" s="104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104" t="n"/>
      <c r="N84" s="104" t="n"/>
    </row>
    <row r="85" ht="42" customHeight="1">
      <c r="A85" s="75">
        <f>IF(B85="","",ROW()-4)</f>
        <v/>
      </c>
      <c r="B85" s="75" t="n"/>
      <c r="C85" s="75" t="n"/>
      <c r="D85" s="75" t="n"/>
      <c r="E85" s="75" t="n"/>
      <c r="F85" s="75" t="n"/>
      <c r="G85" s="75" t="n"/>
      <c r="H85" s="75" t="n"/>
      <c r="I85" s="75" t="n"/>
      <c r="J85" s="75" t="n"/>
      <c r="K85" s="75" t="n"/>
      <c r="L85" s="75" t="n"/>
      <c r="M85" s="75" t="n"/>
      <c r="N85" s="75" t="n"/>
    </row>
    <row r="86" ht="42" customHeight="1">
      <c r="A86" s="104">
        <f>IF(B86="","",ROW()-4)</f>
        <v/>
      </c>
      <c r="B86" s="104" t="n"/>
      <c r="C86" s="104" t="n"/>
      <c r="D86" s="104" t="n"/>
      <c r="E86" s="104" t="n"/>
      <c r="F86" s="104" t="n"/>
      <c r="G86" s="104" t="n"/>
      <c r="H86" s="104" t="n"/>
      <c r="I86" s="104" t="n"/>
      <c r="J86" s="104" t="n"/>
      <c r="K86" s="104" t="n"/>
      <c r="L86" s="104" t="n"/>
      <c r="M86" s="104" t="n"/>
      <c r="N86" s="104" t="n"/>
    </row>
    <row r="87" ht="42" customHeight="1">
      <c r="A87" s="75">
        <f>IF(B87="","",ROW()-4)</f>
        <v/>
      </c>
      <c r="B87" s="75" t="n"/>
      <c r="C87" s="75" t="n"/>
      <c r="D87" s="75" t="n"/>
      <c r="E87" s="75" t="n"/>
      <c r="F87" s="75" t="n"/>
      <c r="G87" s="75" t="n"/>
      <c r="H87" s="75" t="n"/>
      <c r="I87" s="75" t="n"/>
      <c r="J87" s="75" t="n"/>
      <c r="K87" s="75" t="n"/>
      <c r="L87" s="75" t="n"/>
      <c r="M87" s="75" t="n"/>
      <c r="N87" s="75" t="n"/>
    </row>
    <row r="88" ht="42" customHeight="1">
      <c r="A88" s="104">
        <f>IF(B88="","",ROW()-4)</f>
        <v/>
      </c>
      <c r="B88" s="104" t="n"/>
      <c r="C88" s="104" t="n"/>
      <c r="D88" s="104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</row>
    <row r="89" ht="42" customHeight="1">
      <c r="A89" s="75">
        <f>IF(B89="","",ROW()-4)</f>
        <v/>
      </c>
      <c r="B89" s="75" t="n"/>
      <c r="C89" s="75" t="n"/>
      <c r="D89" s="75" t="n"/>
      <c r="E89" s="75" t="n"/>
      <c r="F89" s="75" t="n"/>
      <c r="G89" s="75" t="n"/>
      <c r="H89" s="75" t="n"/>
      <c r="I89" s="75" t="n"/>
      <c r="J89" s="75" t="n"/>
      <c r="K89" s="75" t="n"/>
      <c r="L89" s="75" t="n"/>
      <c r="M89" s="75" t="n"/>
      <c r="N89" s="75" t="n"/>
    </row>
    <row r="90" ht="42" customHeight="1">
      <c r="A90" s="104">
        <f>IF(B90="","",ROW()-4)</f>
        <v/>
      </c>
      <c r="B90" s="104" t="n"/>
      <c r="C90" s="104" t="n"/>
      <c r="D90" s="104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104" t="n"/>
      <c r="N90" s="104" t="n"/>
    </row>
    <row r="91" ht="42" customHeight="1">
      <c r="A91" s="75">
        <f>IF(B91="","",ROW()-4)</f>
        <v/>
      </c>
      <c r="B91" s="75" t="n"/>
      <c r="C91" s="75" t="n"/>
      <c r="D91" s="75" t="n"/>
      <c r="E91" s="75" t="n"/>
      <c r="F91" s="75" t="n"/>
      <c r="G91" s="75" t="n"/>
      <c r="H91" s="75" t="n"/>
      <c r="I91" s="75" t="n"/>
      <c r="J91" s="75" t="n"/>
      <c r="K91" s="75" t="n"/>
      <c r="L91" s="75" t="n"/>
      <c r="M91" s="75" t="n"/>
      <c r="N91" s="75" t="n"/>
    </row>
    <row r="92" ht="42" customHeight="1">
      <c r="A92" s="104">
        <f>IF(B92="","",ROW()-4)</f>
        <v/>
      </c>
      <c r="B92" s="104" t="n"/>
      <c r="C92" s="104" t="n"/>
      <c r="D92" s="104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</row>
    <row r="93" ht="42" customHeight="1">
      <c r="A93" s="75">
        <f>IF(B93="","",ROW()-4)</f>
        <v/>
      </c>
      <c r="B93" s="75" t="n"/>
      <c r="C93" s="75" t="n"/>
      <c r="D93" s="75" t="n"/>
      <c r="E93" s="75" t="n"/>
      <c r="F93" s="75" t="n"/>
      <c r="G93" s="75" t="n"/>
      <c r="H93" s="75" t="n"/>
      <c r="I93" s="75" t="n"/>
      <c r="J93" s="75" t="n"/>
      <c r="K93" s="75" t="n"/>
      <c r="L93" s="75" t="n"/>
      <c r="M93" s="75" t="n"/>
      <c r="N93" s="75" t="n"/>
    </row>
    <row r="94" ht="42" customHeight="1">
      <c r="A94" s="104">
        <f>IF(B94="","",ROW()-4)</f>
        <v/>
      </c>
      <c r="B94" s="104" t="n"/>
      <c r="C94" s="104" t="n"/>
      <c r="D94" s="104" t="n"/>
      <c r="E94" s="104" t="n"/>
      <c r="F94" s="104" t="n"/>
      <c r="G94" s="104" t="n"/>
      <c r="H94" s="104" t="n"/>
      <c r="I94" s="104" t="n"/>
      <c r="J94" s="104" t="n"/>
      <c r="K94" s="104" t="n"/>
      <c r="L94" s="104" t="n"/>
      <c r="M94" s="104" t="n"/>
      <c r="N94" s="104" t="n"/>
    </row>
    <row r="95" ht="42" customHeight="1">
      <c r="A95" s="75">
        <f>IF(B95="","",ROW()-4)</f>
        <v/>
      </c>
      <c r="B95" s="75" t="n"/>
      <c r="C95" s="75" t="n"/>
      <c r="D95" s="75" t="n"/>
      <c r="E95" s="75" t="n"/>
      <c r="F95" s="75" t="n"/>
      <c r="G95" s="75" t="n"/>
      <c r="H95" s="75" t="n"/>
      <c r="I95" s="75" t="n"/>
      <c r="J95" s="75" t="n"/>
      <c r="K95" s="75" t="n"/>
      <c r="L95" s="75" t="n"/>
      <c r="M95" s="75" t="n"/>
      <c r="N95" s="75" t="n"/>
    </row>
    <row r="96" ht="42" customHeight="1">
      <c r="A96" s="104">
        <f>IF(B96="","",ROW()-4)</f>
        <v/>
      </c>
      <c r="B96" s="104" t="n"/>
      <c r="C96" s="104" t="n"/>
      <c r="D96" s="104" t="n"/>
      <c r="E96" s="104" t="n"/>
      <c r="F96" s="104" t="n"/>
      <c r="G96" s="104" t="n"/>
      <c r="H96" s="104" t="n"/>
      <c r="I96" s="104" t="n"/>
      <c r="J96" s="104" t="n"/>
      <c r="K96" s="104" t="n"/>
      <c r="L96" s="104" t="n"/>
      <c r="M96" s="104" t="n"/>
      <c r="N96" s="104" t="n"/>
    </row>
    <row r="97" ht="42" customHeight="1">
      <c r="A97" s="75">
        <f>IF(B97="","",ROW()-4)</f>
        <v/>
      </c>
      <c r="B97" s="75" t="n"/>
      <c r="C97" s="75" t="n"/>
      <c r="D97" s="75" t="n"/>
      <c r="E97" s="75" t="n"/>
      <c r="F97" s="75" t="n"/>
      <c r="G97" s="75" t="n"/>
      <c r="H97" s="75" t="n"/>
      <c r="I97" s="75" t="n"/>
      <c r="J97" s="75" t="n"/>
      <c r="K97" s="75" t="n"/>
      <c r="L97" s="75" t="n"/>
      <c r="M97" s="75" t="n"/>
      <c r="N97" s="75" t="n"/>
    </row>
    <row r="98" ht="42" customHeight="1">
      <c r="A98" s="104">
        <f>IF(B98="","",ROW()-4)</f>
        <v/>
      </c>
      <c r="B98" s="104" t="n"/>
      <c r="C98" s="104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104" t="n"/>
      <c r="N98" s="104" t="n"/>
    </row>
    <row r="99" ht="42" customHeight="1">
      <c r="A99" s="75">
        <f>IF(B99="","",ROW()-4)</f>
        <v/>
      </c>
      <c r="B99" s="75" t="n"/>
      <c r="C99" s="75" t="n"/>
      <c r="D99" s="75" t="n"/>
      <c r="E99" s="75" t="n"/>
      <c r="F99" s="75" t="n"/>
      <c r="G99" s="75" t="n"/>
      <c r="H99" s="75" t="n"/>
      <c r="I99" s="75" t="n"/>
      <c r="J99" s="75" t="n"/>
      <c r="K99" s="75" t="n"/>
      <c r="L99" s="75" t="n"/>
      <c r="M99" s="75" t="n"/>
      <c r="N99" s="75" t="n"/>
    </row>
    <row r="100" ht="42" customHeight="1">
      <c r="A100" s="104">
        <f>IF(B100="","",ROW()-4)</f>
        <v/>
      </c>
      <c r="B100" s="104" t="n"/>
      <c r="C100" s="104" t="n"/>
      <c r="D100" s="104" t="n"/>
      <c r="E100" s="104" t="n"/>
      <c r="F100" s="104" t="n"/>
      <c r="G100" s="104" t="n"/>
      <c r="H100" s="104" t="n"/>
      <c r="I100" s="104" t="n"/>
      <c r="J100" s="104" t="n"/>
      <c r="K100" s="104" t="n"/>
      <c r="L100" s="104" t="n"/>
      <c r="M100" s="104" t="n"/>
      <c r="N100" s="104" t="n"/>
    </row>
    <row r="101" ht="42" customHeight="1">
      <c r="A101" s="75">
        <f>IF(B101="","",ROW()-4)</f>
        <v/>
      </c>
      <c r="B101" s="75" t="n"/>
      <c r="C101" s="75" t="n"/>
      <c r="D101" s="75" t="n"/>
      <c r="E101" s="75" t="n"/>
      <c r="F101" s="75" t="n"/>
      <c r="G101" s="75" t="n"/>
      <c r="H101" s="75" t="n"/>
      <c r="I101" s="75" t="n"/>
      <c r="J101" s="75" t="n"/>
      <c r="K101" s="75" t="n"/>
      <c r="L101" s="75" t="n"/>
      <c r="M101" s="75" t="n"/>
      <c r="N101" s="75" t="n"/>
    </row>
    <row r="102" ht="42" customHeight="1">
      <c r="A102" s="104">
        <f>IF(B102="","",ROW()-4)</f>
        <v/>
      </c>
      <c r="B102" s="104" t="n"/>
      <c r="C102" s="104" t="n"/>
      <c r="D102" s="104" t="n"/>
      <c r="E102" s="104" t="n"/>
      <c r="F102" s="104" t="n"/>
      <c r="G102" s="104" t="n"/>
      <c r="H102" s="104" t="n"/>
      <c r="I102" s="104" t="n"/>
      <c r="J102" s="104" t="n"/>
      <c r="K102" s="104" t="n"/>
      <c r="L102" s="104" t="n"/>
      <c r="M102" s="104" t="n"/>
      <c r="N102" s="104" t="n"/>
    </row>
    <row r="103" ht="42" customHeight="1">
      <c r="A103" s="75">
        <f>IF(B103="","",ROW()-4)</f>
        <v/>
      </c>
      <c r="B103" s="75" t="n"/>
      <c r="C103" s="75" t="n"/>
      <c r="D103" s="75" t="n"/>
      <c r="E103" s="75" t="n"/>
      <c r="F103" s="75" t="n"/>
      <c r="G103" s="75" t="n"/>
      <c r="H103" s="75" t="n"/>
      <c r="I103" s="75" t="n"/>
      <c r="J103" s="75" t="n"/>
      <c r="K103" s="75" t="n"/>
      <c r="L103" s="75" t="n"/>
      <c r="M103" s="75" t="n"/>
      <c r="N103" s="75" t="n"/>
    </row>
    <row r="104" ht="42" customHeight="1">
      <c r="A104" s="104">
        <f>IF(B104="","",ROW()-4)</f>
        <v/>
      </c>
      <c r="B104" s="104" t="n"/>
      <c r="C104" s="104" t="n"/>
      <c r="D104" s="104" t="n"/>
      <c r="E104" s="104" t="n"/>
      <c r="F104" s="104" t="n"/>
      <c r="G104" s="104" t="n"/>
      <c r="H104" s="104" t="n"/>
      <c r="I104" s="104" t="n"/>
      <c r="J104" s="104" t="n"/>
      <c r="K104" s="104" t="n"/>
      <c r="L104" s="104" t="n"/>
      <c r="M104" s="104" t="n"/>
      <c r="N104" s="104" t="n"/>
    </row>
  </sheetData>
  <autoFilter ref="A4:N104"/>
  <mergeCells count="2">
    <mergeCell ref="A2:N2"/>
    <mergeCell ref="A1:N1"/>
  </mergeCells>
  <conditionalFormatting sqref="M5:M104">
    <cfRule type="expression" priority="1" dxfId="0">
      <formula>$M5="已掌握"</formula>
    </cfRule>
    <cfRule type="expression" priority="2" dxfId="2">
      <formula>OR($M5="未复习",$M5="仍需复测")</formula>
    </cfRule>
  </conditionalFormatting>
  <dataValidations count="4">
    <dataValidation sqref="D5:D104" showDropDown="0" showInputMessage="0" showErrorMessage="0" allowBlank="1" type="list">
      <formula1>"听力,阅读,写作,翻译,词汇"</formula1>
    </dataValidation>
    <dataValidation sqref="E5:E104" showDropDown="0" showInputMessage="0" showErrorMessage="0" allowBlank="1" type="list">
      <formula1>"长对话,篇章听力,讲座讲话,选词填空,长篇匹配,仔细阅读,作文,翻译,其他"</formula1>
    </dataValidation>
    <dataValidation sqref="H5:H104" showDropDown="0" showInputMessage="0" showErrorMessage="0" allowBlank="1" type="list">
      <formula1>"词汇,听音辨识,走神,定位,同义替换,长难句,逻辑,速度,审题,语法,搭配,表达,其他"</formula1>
    </dataValidation>
    <dataValidation sqref="M5:M104" showDropDown="0" showInputMessage="0" showErrorMessage="0" allowBlank="1" type="list">
      <formula1>"未复习,48h正确,7天正确,已掌握,仍需复测"</formula1>
    </dataValidation>
  </dataValidations>
  <pageMargins left="0.75" right="0.75" top="1" bottom="1" header="0.5" footer="0.5"/>
  <pageSetup orientation="landscape" fitToHeight="0" fitToWidth="1"/>
  <headerFooter>
    <oddHeader/>
    <oddFooter>&amp;L&amp;8 &amp;K6670852026 CET-6 425+ 计划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6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>怎么用这份计划</t>
        </is>
      </c>
    </row>
    <row r="2" ht="25" customHeight="1">
      <c r="A2" s="2" t="inlineStr">
        <is>
          <t>建议先看 5 分钟，再从“每日计划”开始。所有浅黄色单元格都表示需要确认或弹性处理。</t>
        </is>
      </c>
    </row>
    <row r="3"/>
    <row r="4" ht="25" customHeight="1">
      <c r="A4" s="3" t="inlineStr">
        <is>
          <t>每天</t>
        </is>
      </c>
    </row>
    <row r="5" ht="34" customHeight="1">
      <c r="A5" s="9" t="inlineStr">
        <is>
          <t>• 打开“每日计划”，只看当天一行；完成后把状态改为“已完成”，填写实际分钟和 1–5 分自评。</t>
        </is>
      </c>
    </row>
    <row r="6" ht="34" customHeight="1">
      <c r="A6" s="105" t="inlineStr">
        <is>
          <t>• 任务中的分钟数是时间上限。到点停止比为了做完题拖到深夜更重要。</t>
        </is>
      </c>
    </row>
    <row r="7" ht="34" customHeight="1">
      <c r="A7" s="9" t="inlineStr">
        <is>
          <t>• 当天漏做：不整体顺延。只带走最重要的一项，放到周日复盘；最多 1 项。</t>
        </is>
      </c>
    </row>
    <row r="8"/>
    <row r="9"/>
    <row r="10" ht="25" customHeight="1">
      <c r="A10" s="3" t="inlineStr">
        <is>
          <t>每周</t>
        </is>
      </c>
    </row>
    <row r="11" ht="34" customHeight="1">
      <c r="A11" s="9" t="inlineStr">
        <is>
          <t>• 周日填写“每周复盘”：完成率、听力/阅读原始正确数、最大问题、下周唯一调整。</t>
        </is>
      </c>
    </row>
    <row r="12" ht="34" customHeight="1">
      <c r="A12" s="105" t="inlineStr">
        <is>
          <t>• 完成率低于 70%：下周总量降 15%，但保留听力和仔细阅读；高于 85% 才考虑加量。</t>
        </is>
      </c>
    </row>
    <row r="13" ht="34" customHeight="1">
      <c r="A13" s="9" t="inlineStr">
        <is>
          <t>• 模考后的 48 小时内完成错题二测；7 天后只复测仍然不稳的题。</t>
        </is>
      </c>
    </row>
    <row r="14"/>
    <row r="15"/>
    <row r="16" ht="25" customHeight="1">
      <c r="A16" s="3" t="inlineStr">
        <is>
          <t>真题</t>
        </is>
      </c>
    </row>
    <row r="17" ht="34" customHeight="1">
      <c r="A17" s="9" t="inlineStr">
        <is>
          <t>• 购买后先去“真题映射”填实际年份/套次。F0 是基线，D01–D05 可拆，M01–M06 为保留模考卷。</t>
        </is>
      </c>
    </row>
    <row r="18" ht="34" customHeight="1">
      <c r="A18" s="105" t="inlineStr">
        <is>
          <t>• 全真模拟 130 分钟：写作 30、听力约 30、阅读 40、翻译 30；不中断、不查词。考试具体流程以当次考生须知为准。</t>
        </is>
      </c>
    </row>
    <row r="19" ht="34" customHeight="1">
      <c r="A19" s="9" t="inlineStr">
        <is>
          <t>• 出版社估分只看趋势。真正的考前信号是：近两套都 425+，且听力/阅读原始正确率稳定。</t>
        </is>
      </c>
    </row>
    <row r="20"/>
    <row r="21"/>
    <row r="22" ht="25" customHeight="1">
      <c r="A22" s="3" t="inlineStr">
        <is>
          <t>忙碌/生病</t>
        </is>
      </c>
    </row>
    <row r="23" ht="34" customHeight="1">
      <c r="A23" s="9" t="inlineStr">
        <is>
          <t>• 最低可执行版 40 分钟：到期词 10 + 错句盲听 15 + 仔细阅读证据定位 15。</t>
        </is>
      </c>
    </row>
    <row r="24" ht="34" customHeight="1">
      <c r="A24" s="105" t="inlineStr">
        <is>
          <t>• 旅行 10/2–10/5、运动会减量任务均不补课；恢复日从当日计划直接继续。</t>
        </is>
      </c>
    </row>
    <row r="25" ht="34" customHeight="1">
      <c r="A25" s="9" t="inlineStr">
        <is>
          <t>• 若连续三天无法完成 70%，先砍掉选词填空和额外写译，不砍真题听力与仔细阅读。</t>
        </is>
      </c>
    </row>
    <row r="26"/>
    <row r="27"/>
    <row r="28" ht="25" customHeight="1">
      <c r="A28" s="7" t="inlineStr">
        <is>
          <t>考试日期变更</t>
        </is>
      </c>
    </row>
    <row r="29" ht="34" customHeight="1">
      <c r="A29" s="9" t="inlineStr">
        <is>
          <t>• 当前 12/12 是倒排占位，不是教育部教育考试院 2026 下半年正式公告。</t>
        </is>
      </c>
    </row>
    <row r="30" ht="34" customHeight="1">
      <c r="A30" s="105" t="inlineStr">
        <is>
          <t>• 若正式日期晚于 12/12：12/12 做轻量全真或 M06 复测，然后重复第 14 周；若提前，从考前 6 天直接执行第 14 周。</t>
        </is>
      </c>
    </row>
    <row r="31" ht="34" customHeight="1">
      <c r="A31" s="9" t="inlineStr">
        <is>
          <t>• 9 月起关注莆田学院报名通知；正式公告发布后，修改总览日期和每日计划末段即可。</t>
        </is>
      </c>
    </row>
    <row r="32"/>
    <row r="33"/>
    <row r="34" ht="25" customHeight="1">
      <c r="A34" s="106" t="inlineStr">
        <is>
          <t>来源与核实日期</t>
        </is>
      </c>
    </row>
    <row r="35" ht="30" customHeight="1">
      <c r="A35" s="4" t="inlineStr">
        <is>
          <t>来源</t>
        </is>
      </c>
      <c r="B35" s="4" t="inlineStr">
        <is>
          <t>链接/出处</t>
        </is>
      </c>
      <c r="C35" s="4" t="inlineStr">
        <is>
          <t>本计划如何使用</t>
        </is>
      </c>
    </row>
    <row r="36" ht="42" customHeight="1">
      <c r="A36" s="75" t="inlineStr">
        <is>
          <t>教育部教育考试院 CET 考试动态</t>
        </is>
      </c>
      <c r="B36" s="76" t="inlineStr">
        <is>
          <t>https://cet.neea.edu.cn/html1/category/16093/1124-1.htm</t>
        </is>
      </c>
      <c r="C36" s="75" t="inlineStr">
        <is>
          <t>截至 2026-08-27 未见 2026 下半年正式报名公告</t>
        </is>
      </c>
    </row>
    <row r="37" ht="42" customHeight="1">
      <c r="A37" s="75" t="inlineStr">
        <is>
          <t>CET 报名网考试时间</t>
        </is>
      </c>
      <c r="B37" s="76" t="inlineStr">
        <is>
          <t>https://cet-kw.neea.edu.cn/Home/TestDatePlan.html</t>
        </is>
      </c>
      <c r="C37" s="75" t="inlineStr">
        <is>
          <t>截至 2026-08-27 仍只列 2026 上半年安排</t>
        </is>
      </c>
    </row>
    <row r="38" ht="42" customHeight="1">
      <c r="A38" s="75" t="inlineStr">
        <is>
          <t>CET 笔试介绍</t>
        </is>
      </c>
      <c r="B38" s="76" t="inlineStr">
        <is>
          <t>https://cet.neea.edu.cn/xhtml1/folder/16113/1586-1.htm</t>
        </is>
      </c>
      <c r="C38" s="75" t="inlineStr">
        <is>
          <t>官方说明笔试每年 6 月、12 月举行</t>
        </is>
      </c>
    </row>
    <row r="39" ht="42" customHeight="1">
      <c r="A39" s="75" t="inlineStr">
        <is>
          <t>2026 上半年官方公告</t>
        </is>
      </c>
      <c r="B39" s="76" t="inlineStr">
        <is>
          <t>https://cet.neea.edu.cn/html1/report/2603/2-1.htm</t>
        </is>
      </c>
      <c r="C39" s="75" t="inlineStr">
        <is>
          <t>用于参考近次 CET-6 时段 15:00–17:25；下半年仍待确认</t>
        </is>
      </c>
    </row>
    <row r="40" ht="42" customHeight="1">
      <c r="A40" s="75" t="inlineStr">
        <is>
          <t>国务院 2026 年节假日通知</t>
        </is>
      </c>
      <c r="B40" s="76" t="inlineStr">
        <is>
          <t>https://www.gov.cn/zhengce/zhengceku/202511/content_7047091.htm</t>
        </is>
      </c>
      <c r="C40" s="75" t="inlineStr">
        <is>
          <t>中秋 9/25–27；国庆 10/1–7，9/20、10/10 调休上班</t>
        </is>
      </c>
    </row>
    <row r="41" ht="42" customHeight="1">
      <c r="A41" s="107" t="inlineStr">
        <is>
          <t>上海市年度考试计划</t>
        </is>
      </c>
      <c r="B41" s="76" t="inlineStr">
        <is>
          <t>https://edu.sh.gov.cn/cmsres/28/286d084bda7e46cea1e7d4702b480c86/19d146e3093dac64c68581d795a298e2.pdf</t>
        </is>
      </c>
      <c r="C41" s="107" t="inlineStr">
        <is>
          <t>提供 12/12 排程依据，但不是本次中央正式公告，可能调整</t>
        </is>
      </c>
    </row>
    <row r="42" ht="42" customHeight="1">
      <c r="A42" s="75" t="inlineStr">
        <is>
          <t>莆田学院 2026–2027 第一学期校历</t>
        </is>
      </c>
      <c r="B42" s="75" t="inlineStr">
        <is>
          <t>用户提供图片</t>
        </is>
      </c>
      <c r="C42" s="75" t="inlineStr">
        <is>
          <t>9/7 开学；9/25 中秋；11/12–14 运动会</t>
        </is>
      </c>
    </row>
  </sheetData>
  <mergeCells count="23">
    <mergeCell ref="A30:H30"/>
    <mergeCell ref="A24:H24"/>
    <mergeCell ref="A11:H11"/>
    <mergeCell ref="A1:H1"/>
    <mergeCell ref="A6:H6"/>
    <mergeCell ref="A7:H7"/>
    <mergeCell ref="A25:H25"/>
    <mergeCell ref="A16:H16"/>
    <mergeCell ref="A12:H12"/>
    <mergeCell ref="A18:H18"/>
    <mergeCell ref="A2:H2"/>
    <mergeCell ref="A5:H5"/>
    <mergeCell ref="A23:H23"/>
    <mergeCell ref="A22:H22"/>
    <mergeCell ref="A17:H17"/>
    <mergeCell ref="A4:H4"/>
    <mergeCell ref="A29:H29"/>
    <mergeCell ref="A10:H10"/>
    <mergeCell ref="A28:H28"/>
    <mergeCell ref="A13:H13"/>
    <mergeCell ref="A19:H19"/>
    <mergeCell ref="A31:H31"/>
    <mergeCell ref="A34:H34"/>
  </mergeCells>
  <hyperlinks>
    <hyperlink xmlns:r="http://schemas.openxmlformats.org/officeDocument/2006/relationships" ref="B36" r:id="rId1"/>
    <hyperlink xmlns:r="http://schemas.openxmlformats.org/officeDocument/2006/relationships" ref="B37" r:id="rId2"/>
    <hyperlink xmlns:r="http://schemas.openxmlformats.org/officeDocument/2006/relationships" ref="B38" r:id="rId3"/>
    <hyperlink xmlns:r="http://schemas.openxmlformats.org/officeDocument/2006/relationships" ref="B39" r:id="rId4"/>
    <hyperlink xmlns:r="http://schemas.openxmlformats.org/officeDocument/2006/relationships" ref="B40" r:id="rId5"/>
    <hyperlink xmlns:r="http://schemas.openxmlformats.org/officeDocument/2006/relationships" ref="B41" r:id="rId6"/>
  </hyperlinks>
  <pageMargins left="0.75" right="0.75" top="1" bottom="1" header="0.5" footer="0.5"/>
  <pageSetup orientation="portrait" fitToHeight="2" fitToWidth="1"/>
  <headerFooter>
    <oddHeader/>
    <oddFooter>&amp;L&amp;8 &amp;K6670852026 CET-6 425+ 计划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2026年12月CET-6备考计划（初版）</dc:title>
  <dc:description xmlns:dc="http://purl.org/dc/elements/1.1/">2026-09-07 起，按 450 能力倒排；12-12 为待官方确认占位日。</dc:description>
  <dc:subject xmlns:dc="http://purl.org/dc/elements/1.1/">莆田学院学生 CET-6 425+ 备考</dc:subject>
  <dcterms:created xmlns:dcterms="http://purl.org/dc/terms/" xmlns:xsi="http://www.w3.org/2001/XMLSchema-instance" xsi:type="dcterms:W3CDTF">2026-08-28T10:35:29Z</dcterms:created>
  <dcterms:modified xmlns:dcterms="http://purl.org/dc/terms/" xmlns:xsi="http://www.w3.org/2001/XMLSchema-instance" xsi:type="dcterms:W3CDTF">2026-08-28T10:35:30Z</dcterms:modified>
</cp:coreProperties>
</file>